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C:\Users\913678186\Box\ATI\Admin\Annual Reports\2022-2023\"/>
    </mc:Choice>
  </mc:AlternateContent>
  <xr:revisionPtr revIDLastSave="0" documentId="13_ncr:1_{80048679-5B2A-4F39-83C0-1CDA6AD47C98}" xr6:coauthVersionLast="47" xr6:coauthVersionMax="47" xr10:uidLastSave="{00000000-0000-0000-0000-000000000000}"/>
  <bookViews>
    <workbookView xWindow="38290" yWindow="-10350" windowWidth="21820" windowHeight="38020" tabRatio="720" activeTab="7" xr2:uid="{00000000-000D-0000-FFFF-FFFF00000000}"/>
  </bookViews>
  <sheets>
    <sheet name="Evidence Collection" sheetId="32" r:id="rId1"/>
    <sheet name="Procurement" sheetId="6" r:id="rId2"/>
    <sheet name="IM" sheetId="3" r:id="rId3"/>
    <sheet name="Web" sheetId="1" r:id="rId4"/>
    <sheet name="Stakeholders" sheetId="5" r:id="rId5"/>
    <sheet name="Status" sheetId="4" r:id="rId6"/>
    <sheet name="Laws Memos and Docs" sheetId="7" r:id="rId7"/>
    <sheet name="IM Gap Analysis" sheetId="8" r:id="rId8"/>
    <sheet name="Web Gap Analysis" sheetId="9" r:id="rId9"/>
    <sheet name="Procurement Gap Analysis" sheetId="10" r:id="rId10"/>
  </sheets>
  <definedNames>
    <definedName name="_xlnm._FilterDatabase" localSheetId="0" hidden="1">'Evidence Collection'!$A$1:$B$3</definedName>
    <definedName name="ExternalData_1" localSheetId="0" hidden="1">'Evidence Collection'!$A$5:$I$93</definedName>
    <definedName name="name" localSheetId="1">stakeholders[Name]</definedName>
    <definedName name="name">stakeholders[Name]</definedName>
    <definedName name="stakeholder_names" localSheetId="1">stakeholders[Name]</definedName>
    <definedName name="stakeholder_names">stakeholders[Name]</definedName>
    <definedName name="Statuses">Status!$A$2:$A$7</definedName>
    <definedName name="titles">stakeholders[Title]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8" l="1" a="1"/>
  <c r="A7" i="8" s="1"/>
  <c r="E25" i="10" a="1"/>
  <c r="E25" i="10" s="1"/>
  <c r="E11" i="9" a="1"/>
  <c r="E11" i="9" s="1"/>
  <c r="A8" i="8" a="1"/>
  <c r="A8" i="8" s="1"/>
  <c r="B8" i="8" a="1"/>
  <c r="B8" i="8" s="1"/>
  <c r="C8" i="8" a="1"/>
  <c r="C8" i="8" s="1"/>
  <c r="D8" i="8" a="1"/>
  <c r="D8" i="8" s="1"/>
  <c r="E8" i="8" a="1"/>
  <c r="E8" i="8" s="1"/>
  <c r="J8" i="8"/>
  <c r="C9" i="8" a="1"/>
  <c r="C9" i="8" s="1"/>
  <c r="A10" i="8" a="1"/>
  <c r="A10" i="8" s="1"/>
  <c r="C10" i="8" a="1"/>
  <c r="C10" i="8" s="1"/>
  <c r="J59" i="9"/>
  <c r="J60" i="9"/>
  <c r="J52" i="9"/>
  <c r="J53" i="9"/>
  <c r="J38" i="9"/>
  <c r="J39" i="9"/>
  <c r="J40" i="9"/>
  <c r="J41" i="9"/>
  <c r="J42" i="9"/>
  <c r="J28" i="9"/>
  <c r="J30" i="9"/>
  <c r="J31" i="9"/>
  <c r="J21" i="9"/>
  <c r="J22" i="9"/>
  <c r="J23" i="9"/>
  <c r="J6" i="8"/>
  <c r="J7" i="8"/>
  <c r="E5" i="9" a="1"/>
  <c r="E5" i="9" s="1"/>
  <c r="J60" i="8"/>
  <c r="J61" i="8"/>
  <c r="J53" i="8"/>
  <c r="J34" i="8"/>
  <c r="J35" i="8"/>
  <c r="J38" i="8"/>
  <c r="J28" i="8"/>
  <c r="J32" i="10"/>
  <c r="J33" i="10"/>
  <c r="J21" i="10"/>
  <c r="J24" i="10"/>
  <c r="J25" i="10"/>
  <c r="J28" i="10"/>
  <c r="J15" i="8"/>
  <c r="J17" i="8"/>
  <c r="J23" i="8"/>
  <c r="J24" i="8"/>
  <c r="J25" i="8"/>
  <c r="J26" i="8"/>
  <c r="J27" i="8"/>
  <c r="E14" i="8" a="1"/>
  <c r="E14" i="8" s="1"/>
  <c r="E7" i="8" a="1"/>
  <c r="E7" i="8" s="1"/>
  <c r="E6" i="8" a="1"/>
  <c r="E6" i="8" s="1"/>
  <c r="E21" i="10" a="1"/>
  <c r="E21" i="10" s="1"/>
  <c r="E14" i="9" a="1"/>
  <c r="E14" i="9" s="1"/>
  <c r="C25" i="10" a="1"/>
  <c r="C25" i="10" s="1"/>
  <c r="E7" i="10" a="1"/>
  <c r="E7" i="10" s="1"/>
  <c r="E32" i="10" a="1"/>
  <c r="E32" i="10" s="1"/>
  <c r="E33" i="10" a="1"/>
  <c r="E33" i="10" s="1"/>
  <c r="D32" i="10" a="1"/>
  <c r="D32" i="10" s="1"/>
  <c r="D33" i="10" a="1"/>
  <c r="D33" i="10" s="1"/>
  <c r="C32" i="10" a="1"/>
  <c r="C32" i="10" s="1"/>
  <c r="C33" i="10" a="1"/>
  <c r="C33" i="10" s="1"/>
  <c r="B32" i="10" a="1"/>
  <c r="B32" i="10" s="1"/>
  <c r="B33" i="10" a="1"/>
  <c r="B33" i="10" s="1"/>
  <c r="A32" i="10" a="1"/>
  <c r="A32" i="10" s="1"/>
  <c r="A33" i="10" a="1"/>
  <c r="A33" i="10" s="1"/>
  <c r="A22" i="10" a="1"/>
  <c r="A22" i="10" s="1"/>
  <c r="A23" i="10" a="1"/>
  <c r="A23" i="10" s="1"/>
  <c r="A24" i="10" a="1"/>
  <c r="A24" i="10" s="1"/>
  <c r="A25" i="10" a="1"/>
  <c r="A25" i="10" s="1"/>
  <c r="A26" i="10" a="1"/>
  <c r="A26" i="10" s="1"/>
  <c r="A27" i="10" a="1"/>
  <c r="A27" i="10" s="1"/>
  <c r="A28" i="10" a="1"/>
  <c r="A28" i="10" s="1"/>
  <c r="B22" i="10" a="1"/>
  <c r="B22" i="10" s="1"/>
  <c r="B23" i="10" a="1"/>
  <c r="B23" i="10" s="1"/>
  <c r="B24" i="10" a="1"/>
  <c r="B24" i="10" s="1"/>
  <c r="B25" i="10" a="1"/>
  <c r="B25" i="10" s="1"/>
  <c r="B26" i="10" a="1"/>
  <c r="B26" i="10" s="1"/>
  <c r="B27" i="10" a="1"/>
  <c r="B27" i="10" s="1"/>
  <c r="B28" i="10" a="1"/>
  <c r="B28" i="10" s="1"/>
  <c r="C22" i="10" a="1"/>
  <c r="C22" i="10" s="1"/>
  <c r="C23" i="10" a="1"/>
  <c r="C23" i="10" s="1"/>
  <c r="C24" i="10" a="1"/>
  <c r="C24" i="10" s="1"/>
  <c r="C26" i="10" a="1"/>
  <c r="C26" i="10" s="1"/>
  <c r="C27" i="10" a="1"/>
  <c r="C27" i="10" s="1"/>
  <c r="C28" i="10" a="1"/>
  <c r="C28" i="10" s="1"/>
  <c r="D22" i="10" a="1"/>
  <c r="D22" i="10" s="1"/>
  <c r="J22" i="10" s="1"/>
  <c r="D23" i="10" a="1"/>
  <c r="D23" i="10" s="1"/>
  <c r="J23" i="10" s="1"/>
  <c r="D24" i="10" a="1"/>
  <c r="D24" i="10" s="1"/>
  <c r="D25" i="10" a="1"/>
  <c r="D25" i="10" s="1"/>
  <c r="D26" i="10" a="1"/>
  <c r="D26" i="10" s="1"/>
  <c r="J26" i="10" s="1"/>
  <c r="D27" i="10" a="1"/>
  <c r="D27" i="10" s="1"/>
  <c r="J27" i="10" s="1"/>
  <c r="D28" i="10" a="1"/>
  <c r="D28" i="10" s="1"/>
  <c r="E22" i="10" a="1"/>
  <c r="E22" i="10" s="1"/>
  <c r="E23" i="10" a="1"/>
  <c r="E23" i="10" s="1"/>
  <c r="E24" i="10" a="1"/>
  <c r="E24" i="10" s="1"/>
  <c r="E26" i="10" a="1"/>
  <c r="E26" i="10" s="1"/>
  <c r="E27" i="10" a="1"/>
  <c r="E27" i="10" s="1"/>
  <c r="E28" i="10" a="1"/>
  <c r="E28" i="10" s="1"/>
  <c r="D21" i="10" a="1"/>
  <c r="D21" i="10" s="1"/>
  <c r="C21" i="10" a="1"/>
  <c r="C21" i="10" s="1"/>
  <c r="B21" i="10" a="1"/>
  <c r="B21" i="10" s="1"/>
  <c r="A21" i="10" a="1"/>
  <c r="A21" i="10" s="1"/>
  <c r="E16" i="10" a="1"/>
  <c r="E16" i="10" s="1"/>
  <c r="D16" i="10" a="1"/>
  <c r="D16" i="10" s="1"/>
  <c r="J16" i="10" s="1"/>
  <c r="C16" i="10" a="1"/>
  <c r="C16" i="10" s="1"/>
  <c r="B16" i="10" a="1"/>
  <c r="B16" i="10" s="1"/>
  <c r="A16" i="10" a="1"/>
  <c r="A16" i="10" s="1"/>
  <c r="E5" i="10" a="1"/>
  <c r="E5" i="10" s="1"/>
  <c r="E6" i="10" a="1"/>
  <c r="E6" i="10" s="1"/>
  <c r="E8" i="10" a="1"/>
  <c r="E8" i="10" s="1"/>
  <c r="E9" i="10" a="1"/>
  <c r="E9" i="10" s="1"/>
  <c r="E10" i="10" a="1"/>
  <c r="E10" i="10" s="1"/>
  <c r="E11" i="10" a="1"/>
  <c r="E11" i="10" s="1"/>
  <c r="E12" i="10" a="1"/>
  <c r="E12" i="10" s="1"/>
  <c r="D5" i="10" a="1"/>
  <c r="D5" i="10" s="1"/>
  <c r="J5" i="10" s="1"/>
  <c r="D6" i="10" a="1"/>
  <c r="D6" i="10" s="1"/>
  <c r="J6" i="10" s="1"/>
  <c r="D7" i="10" a="1"/>
  <c r="D7" i="10" s="1"/>
  <c r="J7" i="10" s="1"/>
  <c r="D8" i="10" a="1"/>
  <c r="D8" i="10" s="1"/>
  <c r="J8" i="10" s="1"/>
  <c r="D9" i="10" a="1"/>
  <c r="D9" i="10" s="1"/>
  <c r="J9" i="10" s="1"/>
  <c r="D10" i="10" a="1"/>
  <c r="D10" i="10" s="1"/>
  <c r="J10" i="10" s="1"/>
  <c r="D11" i="10" a="1"/>
  <c r="D11" i="10" s="1"/>
  <c r="J11" i="10" s="1"/>
  <c r="D12" i="10" a="1"/>
  <c r="D12" i="10" s="1"/>
  <c r="J12" i="10" s="1"/>
  <c r="C5" i="10" a="1"/>
  <c r="C5" i="10" s="1"/>
  <c r="C6" i="10" a="1"/>
  <c r="C6" i="10" s="1"/>
  <c r="C7" i="10" a="1"/>
  <c r="C7" i="10" s="1"/>
  <c r="C8" i="10" a="1"/>
  <c r="C8" i="10" s="1"/>
  <c r="C9" i="10" a="1"/>
  <c r="C9" i="10" s="1"/>
  <c r="C10" i="10" a="1"/>
  <c r="C10" i="10" s="1"/>
  <c r="C11" i="10" a="1"/>
  <c r="C11" i="10" s="1"/>
  <c r="C12" i="10" a="1"/>
  <c r="C12" i="10" s="1"/>
  <c r="B5" i="10" a="1"/>
  <c r="B5" i="10" s="1"/>
  <c r="B6" i="10" a="1"/>
  <c r="B6" i="10" s="1"/>
  <c r="B7" i="10" a="1"/>
  <c r="B7" i="10" s="1"/>
  <c r="B8" i="10" a="1"/>
  <c r="B8" i="10" s="1"/>
  <c r="B9" i="10" a="1"/>
  <c r="B9" i="10" s="1"/>
  <c r="B10" i="10" a="1"/>
  <c r="B10" i="10" s="1"/>
  <c r="B11" i="10" a="1"/>
  <c r="B11" i="10" s="1"/>
  <c r="B12" i="10" a="1"/>
  <c r="B12" i="10" s="1"/>
  <c r="A6" i="10" a="1"/>
  <c r="A6" i="10" s="1"/>
  <c r="A7" i="10" a="1"/>
  <c r="A7" i="10" s="1"/>
  <c r="A8" i="10" a="1"/>
  <c r="A8" i="10" s="1"/>
  <c r="A9" i="10" a="1"/>
  <c r="A9" i="10" s="1"/>
  <c r="A10" i="10" a="1"/>
  <c r="A10" i="10" s="1"/>
  <c r="A11" i="10" a="1"/>
  <c r="A11" i="10" s="1"/>
  <c r="A12" i="10" a="1"/>
  <c r="A12" i="10" s="1"/>
  <c r="A5" i="10" a="1"/>
  <c r="A5" i="10" s="1"/>
  <c r="E59" i="9" a="1"/>
  <c r="E59" i="9" s="1"/>
  <c r="E60" i="9" a="1"/>
  <c r="E60" i="9" s="1"/>
  <c r="D59" i="9" a="1"/>
  <c r="D59" i="9" s="1"/>
  <c r="D60" i="9" a="1"/>
  <c r="D60" i="9" s="1"/>
  <c r="C59" i="9" a="1"/>
  <c r="C59" i="9" s="1"/>
  <c r="C60" i="9" a="1"/>
  <c r="C60" i="9" s="1"/>
  <c r="B59" i="9" a="1"/>
  <c r="B59" i="9" s="1"/>
  <c r="B60" i="9" a="1"/>
  <c r="B60" i="9" s="1"/>
  <c r="A59" i="9" a="1"/>
  <c r="A59" i="9" s="1"/>
  <c r="A60" i="9" a="1"/>
  <c r="A60" i="9" s="1"/>
  <c r="E49" i="9" a="1"/>
  <c r="E49" i="9" s="1"/>
  <c r="E50" i="9" a="1"/>
  <c r="E50" i="9" s="1"/>
  <c r="E51" i="9" a="1"/>
  <c r="E51" i="9" s="1"/>
  <c r="E52" i="9" a="1"/>
  <c r="E52" i="9" s="1"/>
  <c r="E53" i="9" a="1"/>
  <c r="E53" i="9" s="1"/>
  <c r="E54" i="9" a="1"/>
  <c r="E54" i="9" s="1"/>
  <c r="E55" i="9" a="1"/>
  <c r="E55" i="9" s="1"/>
  <c r="D49" i="9" a="1"/>
  <c r="D49" i="9" s="1"/>
  <c r="J49" i="9" s="1"/>
  <c r="D50" i="9" a="1"/>
  <c r="D50" i="9" s="1"/>
  <c r="J50" i="9" s="1"/>
  <c r="D51" i="9" a="1"/>
  <c r="D51" i="9" s="1"/>
  <c r="J51" i="9" s="1"/>
  <c r="D52" i="9" a="1"/>
  <c r="D52" i="9" s="1"/>
  <c r="D53" i="9" a="1"/>
  <c r="D53" i="9" s="1"/>
  <c r="D54" i="9" a="1"/>
  <c r="D54" i="9" s="1"/>
  <c r="J54" i="9" s="1"/>
  <c r="D55" i="9" a="1"/>
  <c r="D55" i="9" s="1"/>
  <c r="J55" i="9" s="1"/>
  <c r="C49" i="9" a="1"/>
  <c r="C49" i="9" s="1"/>
  <c r="C50" i="9" a="1"/>
  <c r="C50" i="9" s="1"/>
  <c r="C51" i="9" a="1"/>
  <c r="C51" i="9" s="1"/>
  <c r="C52" i="9" a="1"/>
  <c r="C52" i="9" s="1"/>
  <c r="C53" i="9" a="1"/>
  <c r="C53" i="9" s="1"/>
  <c r="C54" i="9" a="1"/>
  <c r="C54" i="9" s="1"/>
  <c r="C55" i="9" a="1"/>
  <c r="C55" i="9" s="1"/>
  <c r="B49" i="9" a="1"/>
  <c r="B49" i="9" s="1"/>
  <c r="B50" i="9" a="1"/>
  <c r="B50" i="9" s="1"/>
  <c r="B51" i="9" a="1"/>
  <c r="B51" i="9" s="1"/>
  <c r="B52" i="9" a="1"/>
  <c r="B52" i="9" s="1"/>
  <c r="B53" i="9" a="1"/>
  <c r="B53" i="9" s="1"/>
  <c r="B54" i="9" a="1"/>
  <c r="B54" i="9" s="1"/>
  <c r="B55" i="9" a="1"/>
  <c r="B55" i="9" s="1"/>
  <c r="A49" i="9" a="1"/>
  <c r="A49" i="9" s="1"/>
  <c r="A50" i="9" a="1"/>
  <c r="A50" i="9" s="1"/>
  <c r="A51" i="9" a="1"/>
  <c r="A51" i="9" s="1"/>
  <c r="A52" i="9" a="1"/>
  <c r="A52" i="9" s="1"/>
  <c r="A53" i="9" a="1"/>
  <c r="A53" i="9" s="1"/>
  <c r="A54" i="9" a="1"/>
  <c r="A54" i="9" s="1"/>
  <c r="A55" i="9" a="1"/>
  <c r="A55" i="9" s="1"/>
  <c r="A44" i="9" a="1"/>
  <c r="A44" i="9" s="1"/>
  <c r="B44" i="9" a="1"/>
  <c r="B44" i="9" s="1"/>
  <c r="C44" i="9" a="1"/>
  <c r="C44" i="9" s="1"/>
  <c r="D44" i="9" a="1"/>
  <c r="D44" i="9" s="1"/>
  <c r="J44" i="9" s="1"/>
  <c r="E44" i="9" a="1"/>
  <c r="E44" i="9" s="1"/>
  <c r="A40" i="9" a="1"/>
  <c r="A40" i="9" s="1"/>
  <c r="A41" i="9" a="1"/>
  <c r="A41" i="9" s="1"/>
  <c r="A42" i="9" a="1"/>
  <c r="A42" i="9" s="1"/>
  <c r="A43" i="9" a="1"/>
  <c r="A43" i="9" s="1"/>
  <c r="B40" i="9" a="1"/>
  <c r="B40" i="9" s="1"/>
  <c r="B41" i="9" a="1"/>
  <c r="B41" i="9" s="1"/>
  <c r="B42" i="9" a="1"/>
  <c r="B42" i="9" s="1"/>
  <c r="B43" i="9" a="1"/>
  <c r="B43" i="9" s="1"/>
  <c r="C40" i="9" a="1"/>
  <c r="C40" i="9" s="1"/>
  <c r="C41" i="9" a="1"/>
  <c r="C41" i="9" s="1"/>
  <c r="C42" i="9" a="1"/>
  <c r="C42" i="9" s="1"/>
  <c r="C43" i="9" a="1"/>
  <c r="C43" i="9" s="1"/>
  <c r="D40" i="9" a="1"/>
  <c r="D40" i="9" s="1"/>
  <c r="D41" i="9" a="1"/>
  <c r="D41" i="9" s="1"/>
  <c r="D42" i="9" a="1"/>
  <c r="D42" i="9" s="1"/>
  <c r="D43" i="9" a="1"/>
  <c r="D43" i="9" s="1"/>
  <c r="J43" i="9" s="1"/>
  <c r="E40" i="9" a="1"/>
  <c r="E40" i="9" s="1"/>
  <c r="E41" i="9" a="1"/>
  <c r="E41" i="9" s="1"/>
  <c r="E42" i="9" a="1"/>
  <c r="E42" i="9" s="1"/>
  <c r="E43" i="9" a="1"/>
  <c r="E43" i="9" s="1"/>
  <c r="E36" i="9" a="1"/>
  <c r="E36" i="9" s="1"/>
  <c r="E37" i="9" a="1"/>
  <c r="E37" i="9" s="1"/>
  <c r="E38" i="9" a="1"/>
  <c r="E38" i="9" s="1"/>
  <c r="E39" i="9" a="1"/>
  <c r="E39" i="9" s="1"/>
  <c r="D36" i="9" a="1"/>
  <c r="D36" i="9" s="1"/>
  <c r="J36" i="9" s="1"/>
  <c r="D37" i="9" a="1"/>
  <c r="D37" i="9" s="1"/>
  <c r="J37" i="9" s="1"/>
  <c r="D38" i="9" a="1"/>
  <c r="D38" i="9" s="1"/>
  <c r="D39" i="9" a="1"/>
  <c r="D39" i="9" s="1"/>
  <c r="C36" i="9" a="1"/>
  <c r="C36" i="9" s="1"/>
  <c r="C37" i="9" a="1"/>
  <c r="C37" i="9" s="1"/>
  <c r="C38" i="9" a="1"/>
  <c r="C38" i="9" s="1"/>
  <c r="C39" i="9" a="1"/>
  <c r="C39" i="9" s="1"/>
  <c r="B36" i="9" a="1"/>
  <c r="B36" i="9" s="1"/>
  <c r="B37" i="9" a="1"/>
  <c r="B37" i="9" s="1"/>
  <c r="B38" i="9" a="1"/>
  <c r="B38" i="9" s="1"/>
  <c r="B39" i="9" a="1"/>
  <c r="B39" i="9" s="1"/>
  <c r="A36" i="9" a="1"/>
  <c r="A36" i="9" s="1"/>
  <c r="A37" i="9" a="1"/>
  <c r="A37" i="9" s="1"/>
  <c r="A38" i="9" a="1"/>
  <c r="A38" i="9" s="1"/>
  <c r="A39" i="9" a="1"/>
  <c r="A39" i="9" s="1"/>
  <c r="E28" i="9" a="1"/>
  <c r="E28" i="9" s="1"/>
  <c r="E29" i="9" a="1"/>
  <c r="E29" i="9" s="1"/>
  <c r="E30" i="9" a="1"/>
  <c r="E30" i="9" s="1"/>
  <c r="E31" i="9" a="1"/>
  <c r="E31" i="9" s="1"/>
  <c r="D28" i="9" a="1"/>
  <c r="D28" i="9" s="1"/>
  <c r="D29" i="9" a="1"/>
  <c r="D29" i="9" s="1"/>
  <c r="J29" i="9" s="1"/>
  <c r="D30" i="9" a="1"/>
  <c r="D30" i="9" s="1"/>
  <c r="D31" i="9" a="1"/>
  <c r="D31" i="9" s="1"/>
  <c r="C28" i="9" a="1"/>
  <c r="C28" i="9" s="1"/>
  <c r="C29" i="9" a="1"/>
  <c r="C29" i="9" s="1"/>
  <c r="C30" i="9" a="1"/>
  <c r="C30" i="9" s="1"/>
  <c r="C31" i="9" a="1"/>
  <c r="C31" i="9" s="1"/>
  <c r="B28" i="9" a="1"/>
  <c r="B28" i="9" s="1"/>
  <c r="B29" i="9" a="1"/>
  <c r="B29" i="9" s="1"/>
  <c r="B30" i="9" a="1"/>
  <c r="B30" i="9" s="1"/>
  <c r="B31" i="9" a="1"/>
  <c r="B31" i="9" s="1"/>
  <c r="A28" i="9" a="1"/>
  <c r="A28" i="9" s="1"/>
  <c r="A29" i="9" a="1"/>
  <c r="A29" i="9" s="1"/>
  <c r="A30" i="9" a="1"/>
  <c r="A30" i="9" s="1"/>
  <c r="A31" i="9" a="1"/>
  <c r="A31" i="9" s="1"/>
  <c r="A23" i="9" a="1"/>
  <c r="A23" i="9" s="1"/>
  <c r="A24" i="9" a="1"/>
  <c r="A24" i="9" s="1"/>
  <c r="B23" i="9" a="1"/>
  <c r="B23" i="9" s="1"/>
  <c r="B24" i="9" a="1"/>
  <c r="B24" i="9" s="1"/>
  <c r="C23" i="9" a="1"/>
  <c r="C23" i="9" s="1"/>
  <c r="C24" i="9" a="1"/>
  <c r="C24" i="9" s="1"/>
  <c r="D23" i="9" a="1"/>
  <c r="D23" i="9" s="1"/>
  <c r="D24" i="9" a="1"/>
  <c r="D24" i="9" s="1"/>
  <c r="J24" i="9" s="1"/>
  <c r="E23" i="9" a="1"/>
  <c r="E23" i="9" s="1"/>
  <c r="E24" i="9" a="1"/>
  <c r="E24" i="9" s="1"/>
  <c r="A21" i="9" a="1"/>
  <c r="A21" i="9" s="1"/>
  <c r="A22" i="9" a="1"/>
  <c r="A22" i="9" s="1"/>
  <c r="B21" i="9" a="1"/>
  <c r="B21" i="9" s="1"/>
  <c r="B22" i="9" a="1"/>
  <c r="B22" i="9" s="1"/>
  <c r="C21" i="9" a="1"/>
  <c r="C21" i="9" s="1"/>
  <c r="C22" i="9" a="1"/>
  <c r="C22" i="9" s="1"/>
  <c r="D21" i="9" a="1"/>
  <c r="D21" i="9" s="1"/>
  <c r="D22" i="9" a="1"/>
  <c r="D22" i="9" s="1"/>
  <c r="E21" i="9" a="1"/>
  <c r="E21" i="9" s="1"/>
  <c r="E22" i="9" a="1"/>
  <c r="E22" i="9" s="1"/>
  <c r="E20" i="9" a="1"/>
  <c r="E20" i="9" s="1"/>
  <c r="D20" i="9" a="1"/>
  <c r="D20" i="9" s="1"/>
  <c r="J20" i="9" s="1"/>
  <c r="C20" i="9" a="1"/>
  <c r="C20" i="9" s="1"/>
  <c r="B20" i="9" a="1"/>
  <c r="B20" i="9" s="1"/>
  <c r="A20" i="9" a="1"/>
  <c r="A20" i="9" s="1"/>
  <c r="A13" i="9" a="1"/>
  <c r="A13" i="9" s="1"/>
  <c r="A14" i="9" a="1"/>
  <c r="A14" i="9" s="1"/>
  <c r="A15" i="9" a="1"/>
  <c r="A15" i="9" s="1"/>
  <c r="B13" i="9" a="1"/>
  <c r="B13" i="9" s="1"/>
  <c r="B14" i="9" a="1"/>
  <c r="B14" i="9" s="1"/>
  <c r="B15" i="9" a="1"/>
  <c r="B15" i="9" s="1"/>
  <c r="C13" i="9" a="1"/>
  <c r="C13" i="9" s="1"/>
  <c r="C14" i="9" a="1"/>
  <c r="C14" i="9" s="1"/>
  <c r="C15" i="9" a="1"/>
  <c r="C15" i="9" s="1"/>
  <c r="D13" i="9" a="1"/>
  <c r="D13" i="9" s="1"/>
  <c r="J13" i="9" s="1"/>
  <c r="D14" i="9" a="1"/>
  <c r="D14" i="9" s="1"/>
  <c r="J14" i="9" s="1"/>
  <c r="D15" i="9" a="1"/>
  <c r="D15" i="9" s="1"/>
  <c r="J15" i="9" s="1"/>
  <c r="E13" i="9" a="1"/>
  <c r="E13" i="9" s="1"/>
  <c r="E15" i="9" a="1"/>
  <c r="E15" i="9" s="1"/>
  <c r="A6" i="9" a="1"/>
  <c r="A6" i="9" s="1"/>
  <c r="A7" i="9" a="1"/>
  <c r="A7" i="9" s="1"/>
  <c r="A8" i="9" a="1"/>
  <c r="A8" i="9" s="1"/>
  <c r="A9" i="9" a="1"/>
  <c r="A9" i="9" s="1"/>
  <c r="A10" i="9" a="1"/>
  <c r="A10" i="9" s="1"/>
  <c r="A11" i="9" a="1"/>
  <c r="A11" i="9" s="1"/>
  <c r="A12" i="9" a="1"/>
  <c r="A12" i="9" s="1"/>
  <c r="B6" i="9" a="1"/>
  <c r="B6" i="9" s="1"/>
  <c r="B7" i="9" a="1"/>
  <c r="B7" i="9" s="1"/>
  <c r="B8" i="9" a="1"/>
  <c r="B8" i="9" s="1"/>
  <c r="B9" i="9" a="1"/>
  <c r="B9" i="9" s="1"/>
  <c r="B10" i="9" a="1"/>
  <c r="B10" i="9" s="1"/>
  <c r="B11" i="9" a="1"/>
  <c r="B11" i="9" s="1"/>
  <c r="B12" i="9" a="1"/>
  <c r="B12" i="9" s="1"/>
  <c r="C6" i="9" a="1"/>
  <c r="C6" i="9" s="1"/>
  <c r="C7" i="9" a="1"/>
  <c r="C7" i="9" s="1"/>
  <c r="C8" i="9" a="1"/>
  <c r="C8" i="9" s="1"/>
  <c r="C9" i="9" a="1"/>
  <c r="C9" i="9" s="1"/>
  <c r="C10" i="9" a="1"/>
  <c r="C10" i="9" s="1"/>
  <c r="C11" i="9" a="1"/>
  <c r="C11" i="9" s="1"/>
  <c r="C12" i="9" a="1"/>
  <c r="C12" i="9" s="1"/>
  <c r="D6" i="9" a="1"/>
  <c r="D6" i="9" s="1"/>
  <c r="J6" i="9" s="1"/>
  <c r="D7" i="9" a="1"/>
  <c r="D7" i="9" s="1"/>
  <c r="J7" i="9" s="1"/>
  <c r="D8" i="9" a="1"/>
  <c r="D8" i="9" s="1"/>
  <c r="J8" i="9" s="1"/>
  <c r="D9" i="9" a="1"/>
  <c r="D9" i="9" s="1"/>
  <c r="J9" i="9" s="1"/>
  <c r="D10" i="9" a="1"/>
  <c r="D10" i="9" s="1"/>
  <c r="J10" i="9" s="1"/>
  <c r="D11" i="9" a="1"/>
  <c r="D11" i="9" s="1"/>
  <c r="J11" i="9" s="1"/>
  <c r="D12" i="9" a="1"/>
  <c r="D12" i="9" s="1"/>
  <c r="J12" i="9" s="1"/>
  <c r="E6" i="9" a="1"/>
  <c r="E6" i="9" s="1"/>
  <c r="E7" i="9" a="1"/>
  <c r="E7" i="9" s="1"/>
  <c r="E8" i="9" a="1"/>
  <c r="E8" i="9" s="1"/>
  <c r="E9" i="9" a="1"/>
  <c r="E9" i="9" s="1"/>
  <c r="E10" i="9" a="1"/>
  <c r="E10" i="9" s="1"/>
  <c r="E12" i="9" a="1"/>
  <c r="E12" i="9" s="1"/>
  <c r="A5" i="9" a="1"/>
  <c r="A5" i="9" s="1"/>
  <c r="D5" i="9" a="1"/>
  <c r="D5" i="9" s="1"/>
  <c r="J5" i="9" s="1"/>
  <c r="C5" i="9" a="1"/>
  <c r="C5" i="9" s="1"/>
  <c r="B5" i="9" a="1"/>
  <c r="B5" i="9" s="1"/>
  <c r="A25" i="8" a="1"/>
  <c r="A25" i="8" s="1"/>
  <c r="A26" i="8" a="1"/>
  <c r="A26" i="8" s="1"/>
  <c r="A27" i="8" a="1"/>
  <c r="A27" i="8" s="1"/>
  <c r="A28" i="8" a="1"/>
  <c r="A28" i="8" s="1"/>
  <c r="B25" i="8" a="1"/>
  <c r="B25" i="8" s="1"/>
  <c r="B26" i="8" a="1"/>
  <c r="B26" i="8" s="1"/>
  <c r="B27" i="8" a="1"/>
  <c r="B27" i="8" s="1"/>
  <c r="B28" i="8" a="1"/>
  <c r="B28" i="8" s="1"/>
  <c r="C25" i="8" a="1"/>
  <c r="C25" i="8" s="1"/>
  <c r="C26" i="8" a="1"/>
  <c r="C26" i="8" s="1"/>
  <c r="C27" i="8" a="1"/>
  <c r="C27" i="8" s="1"/>
  <c r="C28" i="8" a="1"/>
  <c r="C28" i="8" s="1"/>
  <c r="D25" i="8" a="1"/>
  <c r="D25" i="8" s="1"/>
  <c r="D26" i="8" a="1"/>
  <c r="D26" i="8" s="1"/>
  <c r="D27" i="8" a="1"/>
  <c r="D27" i="8" s="1"/>
  <c r="D28" i="8" a="1"/>
  <c r="D28" i="8" s="1"/>
  <c r="E25" i="8" a="1"/>
  <c r="E25" i="8" s="1"/>
  <c r="E26" i="8" a="1"/>
  <c r="E26" i="8" s="1"/>
  <c r="E27" i="8" a="1"/>
  <c r="E27" i="8" s="1"/>
  <c r="E28" i="8" a="1"/>
  <c r="E28" i="8" s="1"/>
  <c r="B54" i="8" a="1"/>
  <c r="B54" i="8" s="1"/>
  <c r="A52" i="8" a="1"/>
  <c r="A52" i="8" s="1"/>
  <c r="A53" i="8" a="1"/>
  <c r="A53" i="8" s="1"/>
  <c r="A54" i="8" a="1"/>
  <c r="A54" i="8" s="1"/>
  <c r="A55" i="8" a="1"/>
  <c r="A55" i="8" s="1"/>
  <c r="B52" i="8" a="1"/>
  <c r="B52" i="8" s="1"/>
  <c r="B53" i="8" a="1"/>
  <c r="B53" i="8" s="1"/>
  <c r="B55" i="8" a="1"/>
  <c r="B55" i="8" s="1"/>
  <c r="C52" i="8" a="1"/>
  <c r="C52" i="8" s="1"/>
  <c r="C53" i="8" a="1"/>
  <c r="C53" i="8" s="1"/>
  <c r="C54" i="8" a="1"/>
  <c r="C54" i="8" s="1"/>
  <c r="C55" i="8" a="1"/>
  <c r="C55" i="8" s="1"/>
  <c r="D52" i="8" a="1"/>
  <c r="D52" i="8" s="1"/>
  <c r="J52" i="8" s="1"/>
  <c r="D53" i="8" a="1"/>
  <c r="D53" i="8" s="1"/>
  <c r="D54" i="8" a="1"/>
  <c r="D54" i="8" s="1"/>
  <c r="J54" i="8" s="1"/>
  <c r="D55" i="8" a="1"/>
  <c r="D55" i="8" s="1"/>
  <c r="J55" i="8" s="1"/>
  <c r="E52" i="8" a="1"/>
  <c r="E52" i="8" s="1"/>
  <c r="E53" i="8" a="1"/>
  <c r="E53" i="8" s="1"/>
  <c r="E54" i="8" a="1"/>
  <c r="E54" i="8" s="1"/>
  <c r="E55" i="8" a="1"/>
  <c r="E55" i="8" s="1"/>
  <c r="A46" i="8" a="1"/>
  <c r="A46" i="8" s="1"/>
  <c r="B46" i="8" a="1"/>
  <c r="B46" i="8" s="1"/>
  <c r="C46" i="8" a="1"/>
  <c r="C46" i="8" s="1"/>
  <c r="D46" i="8" a="1"/>
  <c r="D46" i="8" s="1"/>
  <c r="J46" i="8" s="1"/>
  <c r="E46" i="8" a="1"/>
  <c r="E46" i="8" s="1"/>
  <c r="A45" i="8" a="1"/>
  <c r="A45" i="8" s="1"/>
  <c r="B45" i="8" a="1"/>
  <c r="B45" i="8" s="1"/>
  <c r="C45" i="8" a="1"/>
  <c r="C45" i="8" s="1"/>
  <c r="D45" i="8" a="1"/>
  <c r="D45" i="8" s="1"/>
  <c r="J45" i="8" s="1"/>
  <c r="E45" i="8" a="1"/>
  <c r="E45" i="8" s="1"/>
  <c r="A38" i="8" a="1"/>
  <c r="A38" i="8" s="1"/>
  <c r="B38" i="8" a="1"/>
  <c r="B38" i="8" s="1"/>
  <c r="C38" i="8" a="1"/>
  <c r="C38" i="8" s="1"/>
  <c r="D38" i="8" a="1"/>
  <c r="D38" i="8" s="1"/>
  <c r="E38" i="8" a="1"/>
  <c r="E38" i="8" s="1"/>
  <c r="A37" i="8" a="1"/>
  <c r="A37" i="8" s="1"/>
  <c r="B37" i="8" a="1"/>
  <c r="B37" i="8" s="1"/>
  <c r="C37" i="8" a="1"/>
  <c r="C37" i="8" s="1"/>
  <c r="D37" i="8" a="1"/>
  <c r="D37" i="8" s="1"/>
  <c r="J37" i="8" s="1"/>
  <c r="E37" i="8" a="1"/>
  <c r="E37" i="8" s="1"/>
  <c r="A36" i="8" a="1"/>
  <c r="A36" i="8" s="1"/>
  <c r="B36" i="8" a="1"/>
  <c r="B36" i="8" s="1"/>
  <c r="C36" i="8" a="1"/>
  <c r="C36" i="8" s="1"/>
  <c r="D36" i="8" a="1"/>
  <c r="D36" i="8" s="1"/>
  <c r="J36" i="8" s="1"/>
  <c r="E36" i="8" a="1"/>
  <c r="E36" i="8" s="1"/>
  <c r="A35" i="8" a="1"/>
  <c r="A35" i="8" s="1"/>
  <c r="B35" i="8" a="1"/>
  <c r="B35" i="8" s="1"/>
  <c r="C35" i="8" a="1"/>
  <c r="C35" i="8" s="1"/>
  <c r="D35" i="8" a="1"/>
  <c r="D35" i="8" s="1"/>
  <c r="E35" i="8" a="1"/>
  <c r="E35" i="8" s="1"/>
  <c r="A16" i="8" a="1"/>
  <c r="A16" i="8" s="1"/>
  <c r="B16" i="8" a="1"/>
  <c r="B16" i="8" s="1"/>
  <c r="C16" i="8" a="1"/>
  <c r="C16" i="8" s="1"/>
  <c r="D16" i="8" a="1"/>
  <c r="D16" i="8" s="1"/>
  <c r="J16" i="8" s="1"/>
  <c r="E16" i="8" a="1"/>
  <c r="E16" i="8" s="1"/>
  <c r="A17" i="8" a="1"/>
  <c r="A17" i="8" s="1"/>
  <c r="B17" i="8" a="1"/>
  <c r="B17" i="8" s="1"/>
  <c r="C17" i="8" a="1"/>
  <c r="C17" i="8" s="1"/>
  <c r="D17" i="8" a="1"/>
  <c r="D17" i="8" s="1"/>
  <c r="E17" i="8" a="1"/>
  <c r="E17" i="8" s="1"/>
  <c r="B33" i="8" a="1"/>
  <c r="B33" i="8" s="1"/>
  <c r="E60" i="8" a="1"/>
  <c r="E60" i="8" s="1"/>
  <c r="E61" i="8" a="1"/>
  <c r="E61" i="8" s="1"/>
  <c r="D60" i="8" a="1"/>
  <c r="D60" i="8" s="1"/>
  <c r="D61" i="8" a="1"/>
  <c r="D61" i="8" s="1"/>
  <c r="C60" i="8" a="1"/>
  <c r="C60" i="8" s="1"/>
  <c r="C61" i="8" a="1"/>
  <c r="C61" i="8" s="1"/>
  <c r="B60" i="8" a="1"/>
  <c r="B60" i="8" s="1"/>
  <c r="B61" i="8" a="1"/>
  <c r="B61" i="8" s="1"/>
  <c r="A60" i="8" a="1"/>
  <c r="A60" i="8" s="1"/>
  <c r="A61" i="8" a="1"/>
  <c r="A61" i="8" s="1"/>
  <c r="A57" i="8" a="1"/>
  <c r="A57" i="8" s="1"/>
  <c r="A58" i="8" a="1"/>
  <c r="A58" i="8" s="1"/>
  <c r="E50" i="8" a="1"/>
  <c r="E50" i="8" s="1"/>
  <c r="E51" i="8" a="1"/>
  <c r="E51" i="8" s="1"/>
  <c r="D50" i="8" a="1"/>
  <c r="D50" i="8" s="1"/>
  <c r="J50" i="8" s="1"/>
  <c r="D51" i="8" a="1"/>
  <c r="D51" i="8" s="1"/>
  <c r="J51" i="8" s="1"/>
  <c r="C50" i="8" a="1"/>
  <c r="C50" i="8" s="1"/>
  <c r="C51" i="8" a="1"/>
  <c r="C51" i="8" s="1"/>
  <c r="B50" i="8" a="1"/>
  <c r="B50" i="8" s="1"/>
  <c r="B51" i="8" a="1"/>
  <c r="B51" i="8" s="1"/>
  <c r="A50" i="8" a="1"/>
  <c r="A50" i="8" s="1"/>
  <c r="A51" i="8" a="1"/>
  <c r="A51" i="8" s="1"/>
  <c r="E43" i="8" a="1"/>
  <c r="E43" i="8" s="1"/>
  <c r="E44" i="8" a="1"/>
  <c r="E44" i="8" s="1"/>
  <c r="D43" i="8" a="1"/>
  <c r="D43" i="8" s="1"/>
  <c r="J43" i="8" s="1"/>
  <c r="D44" i="8" a="1"/>
  <c r="D44" i="8" s="1"/>
  <c r="J44" i="8" s="1"/>
  <c r="C43" i="8" a="1"/>
  <c r="C43" i="8" s="1"/>
  <c r="C44" i="8" a="1"/>
  <c r="C44" i="8" s="1"/>
  <c r="B43" i="8" a="1"/>
  <c r="B43" i="8" s="1"/>
  <c r="B44" i="8" a="1"/>
  <c r="B44" i="8" s="1"/>
  <c r="A43" i="8" a="1"/>
  <c r="A43" i="8" s="1"/>
  <c r="A44" i="8" a="1"/>
  <c r="A44" i="8" s="1"/>
  <c r="A47" i="8" a="1"/>
  <c r="A47" i="8" s="1"/>
  <c r="A48" i="8" a="1"/>
  <c r="A48" i="8" s="1"/>
  <c r="E33" i="8" a="1"/>
  <c r="E33" i="8" s="1"/>
  <c r="E34" i="8" a="1"/>
  <c r="E34" i="8" s="1"/>
  <c r="D33" i="8" a="1"/>
  <c r="D33" i="8" s="1"/>
  <c r="J33" i="8" s="1"/>
  <c r="D34" i="8" a="1"/>
  <c r="D34" i="8" s="1"/>
  <c r="C33" i="8" a="1"/>
  <c r="C33" i="8" s="1"/>
  <c r="C34" i="8" a="1"/>
  <c r="C34" i="8" s="1"/>
  <c r="B34" i="8" a="1"/>
  <c r="B34" i="8" s="1"/>
  <c r="A33" i="8" a="1"/>
  <c r="A33" i="8" s="1"/>
  <c r="A34" i="8" a="1"/>
  <c r="A34" i="8" s="1"/>
  <c r="E23" i="8" a="1"/>
  <c r="E23" i="8" s="1"/>
  <c r="E24" i="8" a="1"/>
  <c r="E24" i="8" s="1"/>
  <c r="D23" i="8" a="1"/>
  <c r="D23" i="8" s="1"/>
  <c r="D24" i="8" a="1"/>
  <c r="D24" i="8" s="1"/>
  <c r="C23" i="8" a="1"/>
  <c r="C23" i="8" s="1"/>
  <c r="C24" i="8" a="1"/>
  <c r="C24" i="8" s="1"/>
  <c r="B23" i="8" a="1"/>
  <c r="B23" i="8" s="1"/>
  <c r="B24" i="8" a="1"/>
  <c r="B24" i="8" s="1"/>
  <c r="A23" i="8" a="1"/>
  <c r="A23" i="8" s="1"/>
  <c r="A24" i="8" a="1"/>
  <c r="A24" i="8" s="1"/>
  <c r="B31" i="8" a="1"/>
  <c r="B31" i="8" s="1"/>
  <c r="E15" i="8" a="1"/>
  <c r="E15" i="8" s="1"/>
  <c r="C14" i="8" a="1"/>
  <c r="C14" i="8" s="1"/>
  <c r="C15" i="8" a="1"/>
  <c r="C15" i="8" s="1"/>
  <c r="A18" i="8" a="1"/>
  <c r="A18" i="8" s="1"/>
  <c r="E18" i="8" a="1"/>
  <c r="E18" i="8" s="1"/>
  <c r="D14" i="8" a="1"/>
  <c r="D14" i="8" s="1"/>
  <c r="J14" i="8" s="1"/>
  <c r="D15" i="8" a="1"/>
  <c r="D15" i="8" s="1"/>
  <c r="D18" i="8" a="1"/>
  <c r="D18" i="8" s="1"/>
  <c r="C18" i="8" a="1"/>
  <c r="C18" i="8" s="1"/>
  <c r="B14" i="8" a="1"/>
  <c r="B14" i="8" s="1"/>
  <c r="B15" i="8" a="1"/>
  <c r="B15" i="8" s="1"/>
  <c r="B18" i="8" a="1"/>
  <c r="B18" i="8" s="1"/>
  <c r="A14" i="8" a="1"/>
  <c r="A14" i="8" s="1"/>
  <c r="A15" i="8" a="1"/>
  <c r="A15" i="8" s="1"/>
  <c r="A31" i="8" a="1"/>
  <c r="A31" i="8" s="1"/>
  <c r="A6" i="8" a="1"/>
  <c r="A6" i="8" s="1"/>
  <c r="B6" i="8" a="1"/>
  <c r="B6" i="8" s="1"/>
  <c r="B7" i="8" a="1"/>
  <c r="B7" i="8" s="1"/>
  <c r="D7" i="8" a="1"/>
  <c r="D7" i="8" s="1"/>
  <c r="D6" i="8" a="1"/>
  <c r="D6" i="8" s="1"/>
  <c r="C7" i="8" a="1"/>
  <c r="C7" i="8" s="1"/>
  <c r="C6" i="8" a="1"/>
  <c r="C6"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93671D-C29B-45A8-B7A6-9CDACA1A4B76}" keepAlive="1" name="Query - _im01_gap" description="Connection to the '_im01_gap' query in the workbook." type="5" refreshedVersion="0" background="1" saveData="1">
    <dbPr connection="Provider=Microsoft.Mashup.OleDb.1;Data Source=$Workbook$;Location=_im01_gap;Extended Properties=&quot;&quot;" command="SELECT * FROM [_im01_gap]"/>
  </connection>
  <connection id="2" xr16:uid="{A2729FB6-FE23-4020-A88C-8BF85AD03051}" keepAlive="1" name="Query - _im04_gap" description="Connection to the '_im04_gap' query in the workbook." type="5" refreshedVersion="0" background="1" saveData="1">
    <dbPr connection="Provider=Microsoft.Mashup.OleDb.1;Data Source=$Workbook$;Location=_im04_gap;Extended Properties=&quot;&quot;" command="SELECT * FROM [_im04_gap]"/>
  </connection>
  <connection id="3" xr16:uid="{741969B3-6771-4976-8D8B-538F30CF156D}" keepAlive="1" name="Query - _im05_gap" description="Connection to the '_im05_gap' query in the workbook." type="5" refreshedVersion="0" background="1" saveData="1">
    <dbPr connection="Provider=Microsoft.Mashup.OleDb.1;Data Source=$Workbook$;Location=_im05_gap;Extended Properties=&quot;&quot;" command="SELECT * FROM [_im05_gap]"/>
  </connection>
  <connection id="4" xr16:uid="{08D9BEAA-7C0C-4F13-8A1E-134E485E2A93}" keepAlive="1" name="Query - _im06_gap" description="Connection to the '_im06_gap' query in the workbook." type="5" refreshedVersion="0" background="1" saveData="1">
    <dbPr connection="Provider=Microsoft.Mashup.OleDb.1;Data Source=$Workbook$;Location=_im06_gap;Extended Properties=&quot;&quot;" command="SELECT * FROM [_im06_gap]"/>
  </connection>
  <connection id="5" xr16:uid="{4CE9F087-6448-457E-AA11-420A2A5E528A}" keepAlive="1" name="Query - _im07_gap" description="Connection to the '_im07_gap' query in the workbook." type="5" refreshedVersion="0" background="1" saveData="1">
    <dbPr connection="Provider=Microsoft.Mashup.OleDb.1;Data Source=$Workbook$;Location=_im07_gap;Extended Properties=&quot;&quot;" command="SELECT * FROM [_im07_gap]"/>
  </connection>
  <connection id="6" xr16:uid="{16AF196E-3E04-4CBA-A839-A2B077D1AD54}" keepAlive="1" name="Query - _im08_gap" description="Connection to the '_im08_gap' query in the workbook." type="5" refreshedVersion="0" background="1" saveData="1">
    <dbPr connection="Provider=Microsoft.Mashup.OleDb.1;Data Source=$Workbook$;Location=_im08_gap;Extended Properties=&quot;&quot;" command="SELECT * FROM [_im08_gap]"/>
  </connection>
  <connection id="7" xr16:uid="{50F3D9D9-2AB2-46F6-BEC4-21212DF8558D}" keepAlive="1" name="Query - _im09_gap" description="Connection to the '_im09_gap' query in the workbook." type="5" refreshedVersion="0" background="1" saveData="1">
    <dbPr connection="Provider=Microsoft.Mashup.OleDb.1;Data Source=$Workbook$;Location=_im09_gap;Extended Properties=&quot;&quot;" command="SELECT * FROM [_im09_gap]"/>
  </connection>
  <connection id="8" xr16:uid="{F68F8D66-EF2B-4B73-84C5-DCADD11169EC}" keepAlive="1" name="Query - _pro01_gap" description="Connection to the '_pro01_gap' query in the workbook." type="5" refreshedVersion="0" background="1" saveData="1">
    <dbPr connection="Provider=Microsoft.Mashup.OleDb.1;Data Source=$Workbook$;Location=_pro01_gap;Extended Properties=&quot;&quot;" command="SELECT * FROM [_pro01_gap]"/>
  </connection>
  <connection id="9" xr16:uid="{0ABCF35E-99FD-4DF3-8F17-49CE5A57C88F}" keepAlive="1" name="Query - _pro04_gap" description="Connection to the '_pro04_gap' query in the workbook." type="5" refreshedVersion="0" background="1" saveData="1">
    <dbPr connection="Provider=Microsoft.Mashup.OleDb.1;Data Source=$Workbook$;Location=_pro04_gap;Extended Properties=&quot;&quot;" command="SELECT * FROM [_pro04_gap]"/>
  </connection>
  <connection id="10" xr16:uid="{32251C5A-6DBD-4778-9EC9-814D7D137FA1}" keepAlive="1" name="Query - _pro05_gap" description="Connection to the '_pro05_gap' query in the workbook." type="5" refreshedVersion="0" background="1" saveData="1">
    <dbPr connection="Provider=Microsoft.Mashup.OleDb.1;Data Source=$Workbook$;Location=_pro05_gap;Extended Properties=&quot;&quot;" command="SELECT * FROM [_pro05_gap]"/>
  </connection>
  <connection id="11" xr16:uid="{C0DC2DE5-AE3A-4C11-981D-AB8BBBAB52BC}" keepAlive="1" name="Query - _pro09_gap" description="Connection to the '_pro09_gap' query in the workbook." type="5" refreshedVersion="0" background="1" saveData="1">
    <dbPr connection="Provider=Microsoft.Mashup.OleDb.1;Data Source=$Workbook$;Location=_pro09_gap;Extended Properties=&quot;&quot;" command="SELECT * FROM [_pro09_gap]"/>
  </connection>
  <connection id="12" xr16:uid="{654B2CCE-B21F-4158-845C-4238574F5A00}" keepAlive="1" name="Query - _web1_gap" description="Connection to the '_web1_gap' query in the workbook." type="5" refreshedVersion="0" background="1" saveData="1">
    <dbPr connection="Provider=Microsoft.Mashup.OleDb.1;Data Source=$Workbook$;Location=_web1_gap;Extended Properties=&quot;&quot;" command="SELECT * FROM [_web1_gap]"/>
  </connection>
  <connection id="13" xr16:uid="{B175C6FA-604D-4A47-9317-0090269B7E85}" keepAlive="1" name="Query - _web2_gap" description="Connection to the '_web2_gap' query in the workbook." type="5" refreshedVersion="0" background="1" saveData="1">
    <dbPr connection="Provider=Microsoft.Mashup.OleDb.1;Data Source=$Workbook$;Location=_web2_gap;Extended Properties=&quot;&quot;" command="SELECT * FROM [_web2_gap]"/>
  </connection>
  <connection id="14" xr16:uid="{82267B0F-195A-4CB4-93AC-8E00472F27C7}" keepAlive="1" name="Query - _web3_gap" description="Connection to the '_web3_gap' query in the workbook." type="5" refreshedVersion="0" background="1" saveData="1">
    <dbPr connection="Provider=Microsoft.Mashup.OleDb.1;Data Source=$Workbook$;Location=_web3_gap;Extended Properties=&quot;&quot;" command="SELECT * FROM [_web3_gap]"/>
  </connection>
  <connection id="15" xr16:uid="{B21286C9-6182-42BB-8797-B141F8FF1D41}" keepAlive="1" name="Query - _web5_gap" description="Connection to the '_web5_gap' query in the workbook." type="5" refreshedVersion="0" background="1" saveData="1">
    <dbPr connection="Provider=Microsoft.Mashup.OleDb.1;Data Source=$Workbook$;Location=_web5_gap;Extended Properties=&quot;&quot;" command="SELECT * FROM [_web5_gap]"/>
  </connection>
  <connection id="16" xr16:uid="{187E2E1E-BA29-42D9-8883-FE8340A73299}" keepAlive="1" name="Query - _web6_gap" description="Connection to the '_web6_gap' query in the workbook." type="5" refreshedVersion="0" background="1" saveData="1">
    <dbPr connection="Provider=Microsoft.Mashup.OleDb.1;Data Source=$Workbook$;Location=_web6_gap;Extended Properties=&quot;&quot;" command="SELECT * FROM [_web6_gap]"/>
  </connection>
  <connection id="17" xr16:uid="{0E15FEEF-94F9-45A9-947F-A555DB90F449}" keepAlive="1" name="Query - _web7_gap" description="Connection to the '_web7_gap' query in the workbook." type="5" refreshedVersion="0" background="1" saveData="1">
    <dbPr connection="Provider=Microsoft.Mashup.OleDb.1;Data Source=$Workbook$;Location=_web7_gap;Extended Properties=&quot;&quot;" command="SELECT * FROM [_web7_gap]"/>
  </connection>
  <connection id="18" xr16:uid="{363B8551-7380-4238-9169-CA4076C81B90}" keepAlive="1" name="Query - evidence_collection" description="Connection to the 'evidence_collection' query in the workbook." type="5" refreshedVersion="8" background="1" saveData="1">
    <dbPr connection="Provider=Microsoft.Mashup.OleDb.1;Data Source=$Workbook$;Location=evidence_collection;Extended Properties=&quot;&quot;" command="SELECT * FROM [evidence_collection]"/>
  </connection>
  <connection id="19" xr16:uid="{4B592403-0847-4530-976C-0F9811131214}" keepAlive="1" name="Query - im_evidence" description="Connection to the 'im_evidence' query in the workbook." type="5" refreshedVersion="0" background="1" saveData="1">
    <dbPr connection="Provider=Microsoft.Mashup.OleDb.1;Data Source=$Workbook$;Location=im_evidence;Extended Properties=&quot;&quot;" command="SELECT * FROM [im_evidence]"/>
  </connection>
  <connection id="20" xr16:uid="{13443AC3-BE4B-42E0-B3FB-45C83F4B60BA}" keepAlive="1" name="Query - pro_evidence" description="Connection to the 'pro_evidence' query in the workbook." type="5" refreshedVersion="0" background="1" saveData="1">
    <dbPr connection="Provider=Microsoft.Mashup.OleDb.1;Data Source=$Workbook$;Location=pro_evidence;Extended Properties=&quot;&quot;" command="SELECT * FROM [pro_evidence]"/>
  </connection>
  <connection id="21" xr16:uid="{278E0A73-8AAF-4B00-AB99-2B048CE4F0F7}" keepAlive="1" name="Query - web_evidence" description="Connection to the 'web_evidence' query in the workbook." type="5" refreshedVersion="0" background="1" saveData="1">
    <dbPr connection="Provider=Microsoft.Mashup.OleDb.1;Data Source=$Workbook$;Location=web_evidence;Extended Properties=&quot;&quot;" command="SELECT * FROM [web_evidenc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<sst xmlns="http://schemas.openxmlformats.org/spreadsheetml/2006/main" count="2072" uniqueCount="644">
  <si>
    <t>2023 ATI Goals Evidence Collection</t>
  </si>
  <si>
    <r>
      <rPr>
        <b/>
        <sz val="12"/>
        <color theme="1"/>
        <rFont val="Calibri"/>
        <family val="2"/>
        <scheme val="minor"/>
      </rPr>
      <t>Please sort this table by "ATI Stakeholder".  For each "Goal #" see the "Success Indicator". Evidence submitted in 2021 is available in the 2021 Evidence column that matches your Title.  Please review both the "2021 Evidence column", the "Review Questions / Instructions" column and add any URLs or direct descriptions of current processes that meet the requirements of the Success Indicator.
I will update the 2023 Status based on the evidence you provide. 
If you believe the responsibility for a goal is incorrectly assigned, please provide the correct name and title in the "2023 Evidence Collection Column" and I will contact that person and CC you. 
Some status indicators have been set to "Not Started" until I have more evidence. However, this does not mean no progress has been made.
I am available for consultation on teams. fontaine@sfsu.edu</t>
    </r>
    <r>
      <rPr>
        <sz val="12"/>
        <color theme="1"/>
        <rFont val="Calibri"/>
        <family val="2"/>
        <scheme val="minor"/>
      </rPr>
      <t xml:space="preserve">
</t>
    </r>
    <r>
      <rPr>
        <b/>
        <sz val="12"/>
        <color rgb="FFC00000"/>
        <rFont val="Calibri"/>
        <family val="2"/>
        <scheme val="minor"/>
      </rPr>
      <t>Please provide evidence by Friday, November 17th.</t>
    </r>
  </si>
  <si>
    <t>Please add supporting documents to this folder: https://sfsu.box.com/s/gdgvqi3snozkzsdvolv8tuy81av8fqdh</t>
  </si>
  <si>
    <t>Goal #</t>
  </si>
  <si>
    <t>Success Indicator</t>
  </si>
  <si>
    <t>ATI Stakeholder</t>
  </si>
  <si>
    <t>2021 Evidence</t>
  </si>
  <si>
    <t>Review Questions / Instructions</t>
  </si>
  <si>
    <t>2023 Status</t>
  </si>
  <si>
    <t>2023 Evidence Collection</t>
  </si>
  <si>
    <t>2023 Evidence</t>
  </si>
  <si>
    <t>Gap Description / Impact</t>
  </si>
  <si>
    <t>(NEW) Developed a process for the ATI Steering Committee to review, revise and approve the updated ATI Instructional Materials Plan.</t>
  </si>
  <si>
    <t>ATI Executive Sponsor</t>
  </si>
  <si>
    <t>ATI Executive Sponsor Instructional Materials working group meets twice a year to update and provide input on ATI plan for IM. Meeting notes are on file share (Box\ATI\Admin\Steering Committee).</t>
  </si>
  <si>
    <t>Not Started</t>
  </si>
  <si>
    <t>No ATI Commiittee is meeting</t>
  </si>
  <si>
    <t>(NEW) Developed a process for the instructional materials subcommittee to inform the revision and coordinate the implementation of the Annual Instructional Materials Plan.</t>
  </si>
  <si>
    <t>(NEW) Developed a process to review the accessibility of faculty-maintained websites or web applications, whether hosted on the campus domain or elsewhere</t>
  </si>
  <si>
    <t>AVP Academic Technology</t>
  </si>
  <si>
    <t>(NEW) Develop Equally Effective Alternate Access Plans (EEAAPs) that address how the campus will ensure equal access for individuals with disabilities to LMS container and integrations (learning tools interoperability [LTI]) stored within the university approved LMS and other platforms.</t>
  </si>
  <si>
    <t/>
  </si>
  <si>
    <t>NEW (was 6.3) Developed an ongoing general campus communication with executive support that promotes ICT procurement awareness.</t>
  </si>
  <si>
    <t>AVP DASW</t>
  </si>
  <si>
    <t>ATI Executive Sponsor; ATS Program Manager https://sfsu.box.com/s/diiwm004t6grf5qnsvy9zssx2ynmpawz</t>
  </si>
  <si>
    <t>Need to review a new plan with exec sponsor when appointed</t>
  </si>
  <si>
    <t>Campus has formally documented (e.g., Policy, Resolution, or Procedure) a process to ensure the timely adoption of textbooks and other instructional materials.</t>
  </si>
  <si>
    <t xml:space="preserve">ATI Executive Sponsor Campus has a policy in place http://senate.sfsu.edu/content/policy-timely-adoption-textbooks-students Campus has an auto-adopt policy in place for all previously taught sections to further help textbook adoption.  https://ucorp.sfsu.edu/sites/default/files/board/agendas/ucorp-bod-minutes-20151008.pdf </t>
  </si>
  <si>
    <t>please provide documentation for updated evidence for timely textbook adoption.</t>
  </si>
  <si>
    <t>Link to site is dead. Link to PDF is dead.</t>
  </si>
  <si>
    <t>(NEW) Develop a process to provide ongoing professional development for employees with ATI Web responsibilities.</t>
  </si>
  <si>
    <t>Director DPRC</t>
  </si>
  <si>
    <t>DPRC Director DPRC budget has line item for professional development funds for DPRC staff, including Web Accessibility Coordinator. Process document in department share (https://sfsu.box.com/s/bsky7ph9alkefa7s8un3ksfc8lmyeb6i)</t>
  </si>
  <si>
    <t>Established</t>
  </si>
  <si>
    <t xml:space="preserve">Developed a process that integrates web accessibility information into the on-boarding/orientation process for new faculty.  </t>
  </si>
  <si>
    <t>DPRC Director; ATS Program Manager DPRC staff speaks on accessibility at every New Faculty Orientation. Presentations stored at Box\Student Services\Outreach and Box\ATI\Admin\Presentations</t>
  </si>
  <si>
    <t xml:space="preserve">Develop a formal communication campaign with executive support to increase knowledge of accessibility issues and responsibilities.  </t>
  </si>
  <si>
    <t>ATI Executive Sponsor, DPRC Director, ATS Program Manager and other staff at DPRC.  DPRC has conducted several presentations and sit on various campus-wide committees to spread awareness of accessibility. Information on the ATI is shared at new faculty and new lecturer orientations. Documentation is available at X:\ATI\Admin\Presentations</t>
  </si>
  <si>
    <t>Defined</t>
  </si>
  <si>
    <t>Campus has integrated accessibility into faculty orientations.</t>
  </si>
  <si>
    <t xml:space="preserve">DPRC Director and other DPRC staff DPRC Director speaks at each New Faculty and New Lecturer Orientation and does a presentation on accessibility and accommodations. Documentation at Box\Student Services\Outreach\PowerPoint Presentations </t>
  </si>
  <si>
    <t>Are we still doing this?</t>
  </si>
  <si>
    <t>Initiated</t>
  </si>
  <si>
    <t>(NEW) Developed a process to provide ongoing professional development for employees with ATI accessible instructional materials responsibilities.</t>
  </si>
  <si>
    <t xml:space="preserve">DPRC Director DPRC budget has line item for professional development funds for DPRC staff, including Accessible Media Program Coordinator. </t>
  </si>
  <si>
    <t>Developed a process to integrate accessible procurement information into new employee orientation .</t>
  </si>
  <si>
    <t>Director of Procurement</t>
  </si>
  <si>
    <t xml:space="preserve">Buyer III All purchase requestors and admin staff receive customized training and are informed of the TAR process when appropriate. Reminders are sent out in newsletters and procedures are outlined on the procurement website. Evidence below https://procurement.sfsu.edu/sites/default/files/documents/Procurement%20%26%20Support%20Services%20Newsletter%20Fall%202019.pdf https://procurement.sfsu.edu/faqsgs https://procurement.sfsu.edu/buying </t>
  </si>
  <si>
    <t xml:space="preserve">Can't find this evidence on the sites provided. </t>
  </si>
  <si>
    <t xml:space="preserve">	Developed a training process for purchase requestors and administrative support staff. </t>
  </si>
  <si>
    <t>Information technology staff are not specifically trained on ICT procurement. All staff with purchasing access are trained on this process. We do not distinguish them from non-IT staff so using same status level as 5.2</t>
  </si>
  <si>
    <t>https://sfsu.box.com/s/l1ss6nryya05277pwy5ji43w9039r4sm</t>
  </si>
  <si>
    <t>Developed a training process for technology support staff (e.g., Information Technology Consultants).</t>
  </si>
  <si>
    <t>Director of Procurement; ATS Program Manager https://procurement.sfsu.edu/buying</t>
  </si>
  <si>
    <t>TAR Process is linked on website but no evidence of training for ITC</t>
  </si>
  <si>
    <t>Developed a training process for Buyers (procurement staff).</t>
  </si>
  <si>
    <t>Administrative Analyst/Specialists;Training is in place for all p-card holders and other fiscal users. New p-card users receive this training and information on the process is sent as a reminder monthly. Samples at Box\ATI\Admin\Evidence for Annual Reports\</t>
  </si>
  <si>
    <t>Need to verify P-Card training still contains TAR process</t>
  </si>
  <si>
    <t>Developed a training process for all purchase card holders.</t>
  </si>
  <si>
    <t>Buyer III; All purchase requestors and admin staff receive customized training and are informed of the TAR process when appropriate. Reminders are sent out in newsletters and procedures are outlined on the procurement website. Evidence below https://procurement.sfsu.edu/sites/default/files/documents/Procurement%20%26%20Support%20Services%20Newsletter%20Fall%202019.pdf https://procurement.sfsu.edu/faqsgs https://procurement.sfsu.edu/buying</t>
  </si>
  <si>
    <t>Developed a process to Inventory all websites and applications (web or mobile) affiliated with the university, including those developed by contract vendors.</t>
  </si>
  <si>
    <t>Director of Web &amp; Mobile Applications</t>
  </si>
  <si>
    <t>ITS Analyst/Programmers https://sfsu.box.com/s/bsky7ph9alkefa7s8un3ksfc8lmyeb6i</t>
  </si>
  <si>
    <t>Can we get clarification how this works?</t>
  </si>
  <si>
    <t>(New) Develop an application support process that includes published, specific accessibility statement(s) and a method to both report and address issues.</t>
  </si>
  <si>
    <t>Analyst/Programmers Process document in department share (https://sfsu.box.com/s/bsky7ph9alkefa7s8un3ksfc8lmyeb6i) Measures of success: Every centrally managed web application has the ability for users to provide feedback directly to campus developers. This feedback is sent to the ticketing system for review and tracking.</t>
  </si>
  <si>
    <t>Managed</t>
  </si>
  <si>
    <t>Developed a process to ensure that accessible coding techniques are used to develop new websites and web applications (web or mobile).</t>
  </si>
  <si>
    <t>Web Accessibility Coordinator; Analyst/Programmer; Public Affairs/Communication Specialist Process document in department share (https://sfsu.box.com/s/bsky7ph9alkefa7s8un3ksfc8lmyeb6i)</t>
  </si>
  <si>
    <t>Can't find evidence of this. Would like to review.</t>
  </si>
  <si>
    <t>Assigned authority and responsibility for the ongoing monitoring process of digital content to a body (person(s) or business entity).</t>
  </si>
  <si>
    <t>Web Accessibility Coordinator Process document in department share (https://sfsu.box.com/s/bsky7ph9alkefa7s8un3ksfc8lmyeb6i)</t>
  </si>
  <si>
    <t>DPRC/ITS need to collaborate on a reporting proceedure</t>
  </si>
  <si>
    <t>Compliance sheriff no longer used. Also need to update SF State website to reflect Level Access</t>
  </si>
  <si>
    <t>NEW (Was 1.1) Developed a process for the ATI Steering Committee to review, revise and approve the updated ATI Procurement Plan.</t>
  </si>
  <si>
    <t>Senior Accessible Technology Services Coordinator</t>
  </si>
  <si>
    <t>ATS Program Manager https://sfsu.box.com/s/diiwm004t6grf5qnsvy9zssx2ynmpawz</t>
  </si>
  <si>
    <t>NEW Developed a process for the procurement subcommittee to inform the revision and coordinate the implementation of Annual Procurement Plan.</t>
  </si>
  <si>
    <t>Developed a process to determine impact based on the impact matrix/criteria.</t>
  </si>
  <si>
    <t>ATS Program Manager; Accessible Procurement Analyst https://sfsu.box.com/s/diiwm004t6grf5qnsvy9zssx2ynmpawz</t>
  </si>
  <si>
    <t>Developed a process to determine the level/complexity of 508 evaluation that will be required for new procurements and/or renewals.</t>
  </si>
  <si>
    <t>Developed a process for procurements that require an evaluation of Section 508 compliance. The process must address requirements for both competitive and non-competitive bid procurements.</t>
  </si>
  <si>
    <t>ATS Program Manager; Accessible https://sfsu.box.com/s/diiwm004t6grf5qnsvy9zssx2ynmpawz</t>
  </si>
  <si>
    <t>For procurement, where is this information located? Explains in detail the different procurement methods?</t>
  </si>
  <si>
    <t>Developed a process for all purchase card purchases that require an evaluation of Section 508 compliance</t>
  </si>
  <si>
    <t>Developed a process for validating accessibility conformance claims (ACRs, Roadmaps, Accessibility Statements, accessibility demonstrations, RFP responses, and testing documentation).</t>
  </si>
  <si>
    <t>ATS Program Manager; Accessible Procurement Analysthttps://sfsu.box.com/s/diiwm004t6grf5qnsvy9zssx2ynmpawz</t>
  </si>
  <si>
    <t>(NEW) Developed a process to evaluate Section 508 compliance for campus adoptions of procurements made by multiple campuses or at the systemwide level (e.g., Master Enabling Agreements).</t>
  </si>
  <si>
    <t>Is there documentation related to MEA purchases you can provide?</t>
  </si>
  <si>
    <t>(Was 2.2) Developed a process so that vendors and campus members involved in ICT procurements know who to contact for assistance, resources, and support.</t>
  </si>
  <si>
    <t>Is this information available on the procurement side? Is DPRC, access@sfsu.edu present in procurment documentation?</t>
  </si>
  <si>
    <t>NEW Assigned authority and responsibility for the ICT procurement process to a body (person(s) or business entity).</t>
  </si>
  <si>
    <t>(NEW) Develop a process for providing equally effective alternate access. The process must outline when an Equally Effective Alternate Access Plan (EEAAP) is required, assigned roles and responsibilities, and distribution strategy.</t>
  </si>
  <si>
    <t>Developed a process to provide ongoing professional development for employees with ATI responsibilities.</t>
  </si>
  <si>
    <t xml:space="preserve">ATS Program Manager The ATI designee in the DPRC participates in the ATI system-wide procurement COPs, CSU trainings and has department resources available for Professional Development when needed. Process at Box\ATI\Procurement\SF State Accessible Technology Procurement Process.docx Line item exists within DPRC budget.  </t>
  </si>
  <si>
    <t>NEW (was 6.2) Developed a process for working collaboratively with vendors during the procurement process to asses and improve the accessibility of their product (i.e., ACR review process, Accessibility Roadmap).</t>
  </si>
  <si>
    <t>Assigned authority and responsibility for the communication process to a body (person(s) or business entity).</t>
  </si>
  <si>
    <t>ATS Program Manager Process document in department share (https://sfsu.box.com/s/bsky7ph9alkefa7s8un3ksfc8lmyeb6i)</t>
  </si>
  <si>
    <t>Developed a process to verify that any changes made to existing websites and applications (web or mobile) comply with Section 508 accessibility standards.</t>
  </si>
  <si>
    <t>Web Accessibility Coordinator; ATS Program Manager Process document in department share (https://sfsu.box.com/s/bsky7ph9alkefa7s8un3ksfc8lmyeb6i)</t>
  </si>
  <si>
    <t>Does ITS have a process in place other than what is present in the Web Process Document under ongoing monitoring and remediation?</t>
  </si>
  <si>
    <t xml:space="preserve">Not currently aware that we are activly fixing sites after manual review. </t>
  </si>
  <si>
    <t xml:space="preserve">	Developed a process that integrates web accessibility information into the on-boarding/orientation process for new staff.   </t>
  </si>
  <si>
    <t>ATS Program Manager Information on the ATI has been added to new staff orientation slides in collaboration with Human Resources.</t>
  </si>
  <si>
    <t>Need evidence from HR.</t>
  </si>
  <si>
    <t>Developed a process that integrates web accessibility information into the on-boarding/orientation process for students.</t>
  </si>
  <si>
    <t>ATS Program Manager Information on the ATI is included as part of the new student programs https://newstudentprograms.sfsu.edu/</t>
  </si>
  <si>
    <t>Need evidence from new student programs</t>
  </si>
  <si>
    <t xml:space="preserve">(NEW) Developed a process for the ATI Steering Committee to review, revise and approve the updated ATI Web Accessibility Plan. </t>
  </si>
  <si>
    <t>ATS Program Manager Plan is updated annually. Process in department share at https://sfsu.box.com/s/bsky7ph9alkefa7s8un3ksfc8lmyeb6i )</t>
  </si>
  <si>
    <t>No Ati Committte</t>
  </si>
  <si>
    <t xml:space="preserve">(NEW) Developed a process for the web accessibility subcommittee to inform the revision and coordinate the implementation of the annual ATI Web Accessibility Plan. </t>
  </si>
  <si>
    <t>ATS Program Manager Plan is updated annually. Process in department share at https://sfsu.box.com/s/bsky7ph9alkefa7s8un3ksfc8lmyeb6i</t>
  </si>
  <si>
    <t>No Web Subcomittee</t>
  </si>
  <si>
    <t>Develop a process that provides alternate media production staff with timely access to instructional materials within the university approved LMS and other platforms.</t>
  </si>
  <si>
    <t>No Evidence provided for 2021</t>
  </si>
  <si>
    <t>DPRC SATSC has administrator access to Canvas. Select courses are scanned daily for materials using canvas bot</t>
  </si>
  <si>
    <t>Developed a process for selecting, authoring, and procuring accessible course materials.</t>
  </si>
  <si>
    <t xml:space="preserve">ATS Program Manager http://access.sfsu.edu/ati/content/sf-state-course-accessibility-checklist https://access.sfsu.edu/ati/instruction/publisher-content </t>
  </si>
  <si>
    <t xml:space="preserve">Developed a process to conduct regularly scheduled accessibility evaluations using automated tools and manual techniques to identify course content that requires remediation. </t>
  </si>
  <si>
    <t xml:space="preserve">DPRC began an opt-in pilot to remediate all course materials for instructors. https://access.sfsu.edu/ati/instruction/pilot </t>
  </si>
  <si>
    <t>On hold until accessible media coordinator positions is filled</t>
  </si>
  <si>
    <t xml:space="preserve">(NEW) Developed a process to prioritize and remediate inaccessible course content. </t>
  </si>
  <si>
    <t xml:space="preserve">Inaccessible course content is remediated upon request for students with disabilities.  </t>
  </si>
  <si>
    <t xml:space="preserve">Developed a process to create, distribute, and update examples of accessible instructional materials.  </t>
  </si>
  <si>
    <t>ATS Program Manager This is included in the course accessibility checklist http://access.sfsu.edu/ati/content/sf-state-course-accessibility-checklist. Accessible syllabus tool is also available to faculty at https://syllabus.sfsu.edu/.</t>
  </si>
  <si>
    <t>Developed a process and provide resources for faculty and instructional staff to create accessible instructional content.</t>
  </si>
  <si>
    <t xml:space="preserve">ATS Program Manager, Accessible Media Program Coordinator Faculty may consult with DPRC if they would like to verify accessibility of their course materials. Faculty going through QLT and CourseMatch are required to verify accessibility of course materials. Resources are at https://access.sfsu.edu/ati/instruction/ </t>
  </si>
  <si>
    <t>relfected in other goals</t>
  </si>
  <si>
    <t xml:space="preserve">Develop a process including various training materials, both in content and modality, for creating, selecting, adopting, and remediating instructional materials.  </t>
  </si>
  <si>
    <t>ATS Program Manager, Accessible Media Program Coordinator Training materials are available at http://access.sfsu.edu/ati/instruction. In addition, several one-on-one trainings are conducted with faculty upon request.</t>
  </si>
  <si>
    <t>Develop a process (e.g., developed and documented practices, specified staff time, educational/training resources, and technology) to achieve compliance with timely adoption.</t>
  </si>
  <si>
    <t>Senior Director of Teaching and Learning Programs and Services</t>
  </si>
  <si>
    <t>Faculty are notified about auto-adoption and deadlines via email each semester. Sample documentation at Box\ATI\Admin\Evidence for Annual Reports\2017-18\IM Responsibility for process lies with Associate Vice President for Academic Affairs Operations. Adoption numbers are tracked by SFSU Bookstore textbook manager.</t>
  </si>
  <si>
    <t>Please provice updated evidence for auto-adoption communications to faculty.</t>
  </si>
  <si>
    <t>Need updated evidence</t>
  </si>
  <si>
    <t>Develop a process to promote the posting of instructional materials to the university approved LMS and other platforms.</t>
  </si>
  <si>
    <t xml:space="preserve">ATI Executive Sponsor https://access.sfsu.edu/ati/content/sf-state-course-accessibility-checklist Procedure: https://athelp.sfsu.edu/hc/en-us/categories/200355657-iLearn and https://canvas.sfsu.edu/canvas/training </t>
  </si>
  <si>
    <t>Are accessibility best practices part of the canvas training for faculty?</t>
  </si>
  <si>
    <t>Develop a process and document specific guidelines and procedures for creating accessible course content hosted in the campus LMS.</t>
  </si>
  <si>
    <t>Accessible Media Program Coordinator and ATS Program Manager have administrator access to all courses in LMS support sites. Access to this is granted a few days before the start of the Academic Year.</t>
  </si>
  <si>
    <t>Need to fully review</t>
  </si>
  <si>
    <t xml:space="preserve">2021 evidence doesn't actually reflect goal. </t>
  </si>
  <si>
    <t>(NEW) Developed a process for creating, selecting, adopting, and remediating audio and video assets.</t>
  </si>
  <si>
    <t>"Creating/Selecting/Adopting". Please provide evidence.</t>
  </si>
  <si>
    <t>DPRC can do "remediating"</t>
  </si>
  <si>
    <t>(NEW) Developed a process for creating, selecting, adopting, and remediating instructor developed course readers.</t>
  </si>
  <si>
    <t>"Creating/Selecting/Adopting". Please provide evidence. TEST</t>
  </si>
  <si>
    <t>(NEW) Developed a process for creating, selecting, adopting, and remediating digital content: documents (word processor produced, spreadsheets, presentation software, PDF).</t>
  </si>
  <si>
    <t>(NEW) Developed a process for creating, adopting, implementing, and remediating emerging instructional technologies.</t>
  </si>
  <si>
    <t>(NEW) Developed a process for creating, selecting, adopting, and remediating publisher created content.</t>
  </si>
  <si>
    <t>(NEW) Developed a process for creating, selecting, adopting, and remediating learning and engagement tools.</t>
  </si>
  <si>
    <t xml:space="preserve">Developed a process to facilitate the review and remediation of the accessibility of online courses before posting. </t>
  </si>
  <si>
    <t xml:space="preserve">Instructional Designers	Faculty may run their course through Quality Learning and Teaching (QLT) certification offered by Academic Technology. One of the sections includes accessibility and DPRC consults with AT frequently accessibly checks in QLT. Process at http://qlt.sfsu.edu/ </t>
  </si>
  <si>
    <t xml:space="preserve">Can't independetly verify. Please provide evidence accessibility is still incorporated into QLT certification. </t>
  </si>
  <si>
    <t xml:space="preserve">	Developed a process for faculty and instructional staff to incorporate accessibility at the time of course redesign.  </t>
  </si>
  <si>
    <t xml:space="preserve">ATS Program Manager All faculty are directed to the course accessibility checklist when submitting a course redesign proposal at https://nextbulletin.sfsu.edu/courseadmin/ </t>
  </si>
  <si>
    <t>Link dead. Need to reverify. Please provide evidence faculty are directed to the course check list</t>
  </si>
  <si>
    <t xml:space="preserve">Campus has formally documented (through Policy or Resolution) faculty responsibility for selecting and authoring accessible instructional materials. </t>
  </si>
  <si>
    <t>Assistant Vice President for Teaching and Learning Faculty are encouraged to select and author accessible instructional materials through various mechanisms (website, orientation, new course proposal, affordable instructional materials, etc.) but no formal policy, resolution or procedure in place.</t>
  </si>
  <si>
    <t>This goal is reflected in other IM goals</t>
  </si>
  <si>
    <t xml:space="preserve">(NEW) Developed a process that integrates accessibility information into faculty development. </t>
  </si>
  <si>
    <t>(NEW) Developed a process that integrates accessibility information into academic technology activities.</t>
  </si>
  <si>
    <t xml:space="preserve">CEETL includes DPRC and accessibility in their workshops and events. https://ceetl.sfsu.edu/ </t>
  </si>
  <si>
    <t>Haven't been included in any workshops in 2023</t>
  </si>
  <si>
    <t>(NEW) Develop a process to distribute timely adoption performance reports to campus administration each semester.</t>
  </si>
  <si>
    <t>Textbook Manager</t>
  </si>
  <si>
    <t>SFSU Bookstore textbook manager Performance reports are distributed to campus administration for Fall and Spring from the campus bookstore. These include late hire faculty.</t>
  </si>
  <si>
    <t>Developed a process that incorporates accessibility when acquiring, converting, digitizing, creating, and maintaining library assets. </t>
  </si>
  <si>
    <t>University Librarian</t>
  </si>
  <si>
    <t>ad-hoc accessibility processes are performed by the library (ex. scanning in theses). Acquisition is covered by CSU CO ATI procurement processes</t>
  </si>
  <si>
    <t>A quick update on processes performed at the library to make content accessible</t>
  </si>
  <si>
    <t>Assigned authority and responsibility for the evaluation process to a body (person(s) or business entity).</t>
  </si>
  <si>
    <t>Web Accessibility Coordinator</t>
  </si>
  <si>
    <t>Web Accessibility Coordinator https://sfsu.box.com/s/bsky7ph9alkefa7s8un3ksfc8lmyeb6i</t>
  </si>
  <si>
    <t>Established a process to perform regularly scheduled accessibility audits using established criteria to identify campus-affiliated websites and applications (web or mobile) that need remediation.  </t>
  </si>
  <si>
    <t>Web Accessibility Coordinator; https://sfsu.box.com/s/bsky7ph9alkefa7s8un3ksfc8lmyeb6i</t>
  </si>
  <si>
    <t>How should we integrate level access reports into this process?</t>
  </si>
  <si>
    <t>No longer using Compliance Sheriff.</t>
  </si>
  <si>
    <t>Developed a process to conduct manual accessibility evaluations on campus-affiliated websites and applications (web or mobile).</t>
  </si>
  <si>
    <t>Web Accessibility Coordinator Process document in department share https://sfsu.box.com/s/bsky7ph9alkefa7s8un3ksfc8lmyeb6i</t>
  </si>
  <si>
    <t>Developed a process to distribute evaluation results to campus members and/or vendors responsible for website maintenance.</t>
  </si>
  <si>
    <t>Developed a process to ensure that campus members involved in maintaining websites and applications (web or mobile) understand the accessibility evaluation process.</t>
  </si>
  <si>
    <t>Web Accessibility Coordinator; Analyst/Programmers http://drupal.sfsu.edu/checklist-moving-your-site-production Process document in department share ( https://sfsu.box.com/s/bsky7ph9alkefa7s8un3ksfc8lmyeb6i) Measures of success: Fixed process for going live that everyone required to follow. Stats in ticketing system</t>
  </si>
  <si>
    <t>http://drupal.sfsu.edu/checklist-moving-your-site-production is dead.</t>
  </si>
  <si>
    <t>https://its.sfsu.edu/moving-your-site-to-production-checklist</t>
  </si>
  <si>
    <t>Developed a process to conduct manual accessibility evaluations on digital content: documents (word processor produced, spreadsheets, presentations, PDFs).</t>
  </si>
  <si>
    <t>Web Accessibility Coordinator Process document in department share (https://sfsu.box.com/s/bsky7ph9alkefa7s8un3ksfc8lmyeb6i) Measures of success: Process outlined in Manual web evaluation https://access.sfsu.edu/sites/default/files/documents/Web_Manual_Evaluation_Summary.docx</t>
  </si>
  <si>
    <t>Developed a process to conduct manual evaluations on multimedia digital content (video and audio).</t>
  </si>
  <si>
    <t>Web Accessibility Coordinator
Process document in department share (https://sfsu.box.com/s/bsky7ph9alkefa7s8un3ksfc8lmyeb6i)
Measures of success: Process outlined in Manual web evaluation https://access.sfsu.edu/sites/default/files/documents/Web_Manual_Evaluation_Summary.docx</t>
  </si>
  <si>
    <t>Developed a process to distribute evaluation results to campus members and vendors responsible for digital content maintenance.</t>
  </si>
  <si>
    <t>Web Accessibility Coordinator Process document in department share (https://sfsu.box.com/s/bsky7ph9alkefa7s8un3ksfc8lmyeb6i) Measures of success: Tracked in ticketing system</t>
  </si>
  <si>
    <t xml:space="preserve"> Developed a process to ensure that campus members involved in maintaining digital content are familiar with the accessibility evaluation process</t>
  </si>
  <si>
    <t>Developed a process to ensure that new websites and applications (web or mobile) are developed to meet Section 508 accessibility standards.</t>
  </si>
  <si>
    <t>Developed a process for digital content: documents (word processor produced, spreadsheets, presentations, PDFs) to meet Section 508 accessibility standards before the documents are published to the web.</t>
  </si>
  <si>
    <t>Confirm with ED</t>
  </si>
  <si>
    <t>Develop a process for video and audio to meet Section 508 accessibility standards before the content is published to the web.</t>
  </si>
  <si>
    <t>Assigned authority and responsibility for the new web/mobile development process to a body (person(s) or business entity).</t>
  </si>
  <si>
    <t>Assigned authority and responsibility to a body (person(s) or business entity) for the process of ensuring updates and maintenance to websites and applications (web or mobile) are compliant.</t>
  </si>
  <si>
    <t>Web Accessibility Coordinator http://access.sfsu.edu/ati/webaccess/monitor Process document in department share (https://sfsu.box.com/s/bsky7ph9alkefa7s8un3ksfc8lmyeb6i</t>
  </si>
  <si>
    <t>Web Accessibility Coordinator Process document in department share (Box\ATI\Web Accessibility\ Web_Accessibility_Process_Document_v1)</t>
  </si>
  <si>
    <t>Developed a process to verify that any changes made to existing digital content: documents (word processor produced, spreadsheets, presentations, PDFs) comply with Section 508 accessibility standards.</t>
  </si>
  <si>
    <t>Need to confirm with ED</t>
  </si>
  <si>
    <t>Assigned authority and responsibility for the training process of web development and application development to a body (person(s) or business entity).</t>
  </si>
  <si>
    <t xml:space="preserve">This needs clarification. </t>
  </si>
  <si>
    <t>Assigned authority and responsibility for the training process of digital content development to a body (person(s) or business entity).</t>
  </si>
  <si>
    <t>Developed a training process on accessibility for web/mobile developers and designers, to include Section 508 standards and the campus monitoring process.</t>
  </si>
  <si>
    <t>Are there other training documents provided by ITS? DPRC has some but we need to revisit what to focus future training on.</t>
  </si>
  <si>
    <t>No formal training has been done in 2023. New coordination needed between DPRC/ITS/SMAC</t>
  </si>
  <si>
    <t>Developed a training process on accessibility for web content contributors, to include Section 508 standards and the campus monitoring process.</t>
  </si>
  <si>
    <t>Web Accessibility; Analyst/Programmer Coordinator Process document in department share (https://sfsu.box.com/s/bsky7ph9alkefa7s8un3ksfc8lmyeb6i)</t>
  </si>
  <si>
    <t>Developed a training process on accessibility for digital content: documents (word processor produced, spreadsheets, presentations, PDF), to include Section 508 standards and the campus monitoring process.</t>
  </si>
  <si>
    <t>Developed a training process on accessibility for digital content: video and audio asset publishers, to include Section 508 standards and the campus monitoring process.</t>
  </si>
  <si>
    <t>(NEW) Developed a training process on accessibility for social media content.</t>
  </si>
  <si>
    <t xml:space="preserve">Web Accessibility Coordinator Process document in department share (https://sfsu.box.com/s/bsky7ph9alkefa7s8un3ksfc8lmyeb6i) https://access.sfsu.edu/ati/social/ </t>
  </si>
  <si>
    <t>(NEW) Developed a training process on accessibility for marketing and communication materials (such as emails and flyers).</t>
  </si>
  <si>
    <t>Web Accessibility Coordinator Process document in department share (https://sfsu.box.com/s/bsky7ph9alkefa7s8un3ksfc8lmyeb6i) https://access.sfsu.edu/ati/emails</t>
  </si>
  <si>
    <t>DPRC has some but we need to revisit what to focus future training on.</t>
  </si>
  <si>
    <t>Need to revisit.</t>
  </si>
  <si>
    <t>(NEW) Developed a process to ensure that campus members involved in creating and/or maintaining web sites, designs, and/or applications (web or mobile) know who to contact for compliance training, assistance, resources and support.</t>
  </si>
  <si>
    <t>https://access.sfsu.edu/ati/webaccess</t>
  </si>
  <si>
    <t xml:space="preserve">	NEW Developed a process to ensure that campus members involved in creating and/or maintaining digital content (web, web design, documents, videos, audio, etc.) know who to contact for compliance training, assistance, resources and support.</t>
  </si>
  <si>
    <t xml:space="preserve"> 1.0 Procurement Processes</t>
  </si>
  <si>
    <t>Goal</t>
  </si>
  <si>
    <t>Goal Status</t>
  </si>
  <si>
    <t>Key Accomplishements</t>
  </si>
  <si>
    <t>Key Plans</t>
  </si>
  <si>
    <t>Comments</t>
  </si>
  <si>
    <t>Campus has procurement processes that follow Section 508 requirements for all acquired Information and Communication Technology (ICT) products and/or services.</t>
  </si>
  <si>
    <t xml:space="preserve">Created a new and easy to read document on how to review VPAT/ACR * Created a new database in Asana to keep track of current VPATs and EEAAPs </t>
  </si>
  <si>
    <t>Status</t>
  </si>
  <si>
    <t xml:space="preserve">Year Started </t>
  </si>
  <si>
    <t xml:space="preserve">Worked on? (Yes/No) </t>
  </si>
  <si>
    <t>Will work on?</t>
  </si>
  <si>
    <t>Will work on? (Yes/No)</t>
  </si>
  <si>
    <t>Evidence/Comments?</t>
  </si>
  <si>
    <t>Department Stakeholder?</t>
  </si>
  <si>
    <t>Supporting URLs</t>
  </si>
  <si>
    <t>2021 Status</t>
  </si>
  <si>
    <r>
      <rPr>
        <b/>
        <sz val="14"/>
        <rFont val="Calibri"/>
        <family val="2"/>
        <scheme val="minor"/>
      </rPr>
      <t>1.1</t>
    </r>
  </si>
  <si>
    <t>Removed</t>
  </si>
  <si>
    <r>
      <rPr>
        <b/>
        <sz val="14"/>
        <rFont val="Calibri"/>
        <family val="2"/>
        <scheme val="minor"/>
      </rPr>
      <t>1.2</t>
    </r>
  </si>
  <si>
    <t>1.3</t>
  </si>
  <si>
    <r>
      <rPr>
        <b/>
        <sz val="14"/>
        <color theme="1"/>
        <rFont val="Calibri"/>
        <family val="2"/>
        <scheme val="minor"/>
      </rPr>
      <t>1.4</t>
    </r>
  </si>
  <si>
    <t>1.5</t>
  </si>
  <si>
    <r>
      <rPr>
        <b/>
        <sz val="14"/>
        <rFont val="Calibri"/>
        <family val="2"/>
        <scheme val="minor"/>
      </rPr>
      <t>1.6</t>
    </r>
  </si>
  <si>
    <r>
      <rPr>
        <b/>
        <sz val="14"/>
        <color theme="1"/>
        <rFont val="Calibri"/>
        <family val="2"/>
        <scheme val="minor"/>
      </rPr>
      <t>1.7</t>
    </r>
  </si>
  <si>
    <t>1.8</t>
  </si>
  <si>
    <t>1.9</t>
  </si>
  <si>
    <r>
      <rPr>
        <b/>
        <sz val="14"/>
        <rFont val="Calibri"/>
        <family val="2"/>
        <scheme val="minor"/>
      </rPr>
      <t>1.10</t>
    </r>
  </si>
  <si>
    <r>
      <rPr>
        <b/>
        <sz val="14"/>
        <color theme="1"/>
        <rFont val="Calibri"/>
        <family val="2"/>
        <scheme val="minor"/>
      </rPr>
      <t>1.11</t>
    </r>
  </si>
  <si>
    <t xml:space="preserve">4.0 	Equally Effective Alternate Access Plans (EEAAPs) </t>
  </si>
  <si>
    <t>Equally Effective Alternate Access Plans are created for ICT products that are not fully 508 compliant.</t>
  </si>
  <si>
    <t>Supporting URLS</t>
  </si>
  <si>
    <t>4.1</t>
  </si>
  <si>
    <t>4.2</t>
  </si>
  <si>
    <t>4.3</t>
  </si>
  <si>
    <t>4.4</t>
  </si>
  <si>
    <t>4.5</t>
  </si>
  <si>
    <t>4.6</t>
  </si>
  <si>
    <t xml:space="preserve">5.0	 Training and Outreach (combines Goals 5 and 6) </t>
  </si>
  <si>
    <t>Training and outreach programs are in place for all ICT procurement stakeholders (e.g., buyers, purchase requestors, vendors, etc.).</t>
  </si>
  <si>
    <t>5.1</t>
  </si>
  <si>
    <t>5.2</t>
  </si>
  <si>
    <r>
      <rPr>
        <b/>
        <sz val="14"/>
        <color theme="1"/>
        <rFont val="Calibri"/>
        <family val="2"/>
        <scheme val="minor"/>
      </rPr>
      <t>5.3</t>
    </r>
  </si>
  <si>
    <r>
      <rPr>
        <b/>
        <sz val="14"/>
        <color theme="1"/>
        <rFont val="Calibri"/>
        <family val="2"/>
        <scheme val="minor"/>
      </rPr>
      <t>5.4</t>
    </r>
  </si>
  <si>
    <t>5.5</t>
  </si>
  <si>
    <t>5.6</t>
  </si>
  <si>
    <t>5.7</t>
  </si>
  <si>
    <t>5.8</t>
  </si>
  <si>
    <r>
      <rPr>
        <b/>
        <sz val="14"/>
        <color theme="1"/>
        <rFont val="Calibri"/>
        <family val="2"/>
        <scheme val="minor"/>
      </rPr>
      <t>5.9</t>
    </r>
  </si>
  <si>
    <r>
      <rPr>
        <b/>
        <sz val="14"/>
        <color theme="1"/>
        <rFont val="Calibri"/>
        <family val="2"/>
        <scheme val="minor"/>
      </rPr>
      <t>5.10</t>
    </r>
  </si>
  <si>
    <t>6.0  Outreach (Communications) – Goal and Success Indicators Removed</t>
  </si>
  <si>
    <t>7.0 Evaluation &amp; Monitoring – Goal and Success Indicators Removed</t>
  </si>
  <si>
    <t>8.0	 Experience / Implementation</t>
  </si>
  <si>
    <t>Campuses have sufficient experience and expertise in completing ICT procurements.</t>
  </si>
  <si>
    <t>Numeric Value</t>
  </si>
  <si>
    <t>Evidence</t>
  </si>
  <si>
    <t>2021 Numeric Value</t>
  </si>
  <si>
    <t>8.1</t>
  </si>
  <si>
    <t>8.2</t>
  </si>
  <si>
    <t>8.3</t>
  </si>
  <si>
    <t>8.4</t>
  </si>
  <si>
    <t>8.5</t>
  </si>
  <si>
    <t>8.6</t>
  </si>
  <si>
    <t>8.7</t>
  </si>
  <si>
    <t>8.8</t>
  </si>
  <si>
    <t>NEW Total number of ICT purchases.</t>
  </si>
  <si>
    <t>unknown</t>
  </si>
  <si>
    <t>No visibility into total ICT purchases on campus since some items are pre-approved and skip the TAR process</t>
  </si>
  <si>
    <t>8.9</t>
  </si>
  <si>
    <t xml:space="preserve">	NEW Total number of ICT reviews.</t>
  </si>
  <si>
    <t>via Ticketing system</t>
  </si>
  <si>
    <t>8.10</t>
  </si>
  <si>
    <t xml:space="preserve">	NEW Total number of EEAAPs completed.</t>
  </si>
  <si>
    <t>9.0	 ATI Procurement Plan (NEW)</t>
  </si>
  <si>
    <t>Annually review and update the ATI Procurement Plan</t>
  </si>
  <si>
    <t>9.1</t>
  </si>
  <si>
    <t>9.2</t>
  </si>
  <si>
    <t>1.0 Timely Adoption</t>
  </si>
  <si>
    <t xml:space="preserve">The campus has implemented a comprehensive plan to ensure the timely adoption of instructional materials, including courses with late-hire faculty or adjunct faculty. </t>
  </si>
  <si>
    <t>1.1</t>
  </si>
  <si>
    <t>1.2</t>
  </si>
  <si>
    <t>1.4</t>
  </si>
  <si>
    <t>ATI Executive Sponsor Box\ATI\Admin\Evidence for Annual Reports\</t>
  </si>
  <si>
    <t>1.6</t>
  </si>
  <si>
    <t>2.0 Identification of IM for Late-Hire Faculty - Goal and Success Indicators Removed</t>
  </si>
  <si>
    <t>3.0 Early Identification of Students with Disabilities – Goal and Success Indicators Removed</t>
  </si>
  <si>
    <t>4.0 Faculty Use of LMS (or non-LMS) Course Websites</t>
  </si>
  <si>
    <t>4.7</t>
  </si>
  <si>
    <t>4.8</t>
  </si>
  <si>
    <t>4.9</t>
  </si>
  <si>
    <t>4.10</t>
  </si>
  <si>
    <t>4.11</t>
  </si>
  <si>
    <t>5.0 Accessibility Requirements for Multimedia, Interactive Content and Emerging Instructional Technologies (Goal remains – all new success indicators for 2022-2023)</t>
  </si>
  <si>
    <t xml:space="preserve">The campus has implemented policies and procedures to ensure that accessibility has been incorporated into multimedia, interactive content, and emerging instructional technologies. </t>
  </si>
  <si>
    <t>5.1 - 5.10</t>
  </si>
  <si>
    <t>5.11</t>
  </si>
  <si>
    <t>5.12</t>
  </si>
  <si>
    <t>5.13</t>
  </si>
  <si>
    <t>5.14</t>
  </si>
  <si>
    <t>5.15</t>
  </si>
  <si>
    <t>5.16</t>
  </si>
  <si>
    <t>6.0 Accessibility Requirements for Curricular Review and Approval</t>
  </si>
  <si>
    <t xml:space="preserve">The campus has implemented procedures to ensure that accessibility requirements have been incorporated into the course review and remediation process. </t>
  </si>
  <si>
    <t>6.1</t>
  </si>
  <si>
    <t>6.2</t>
  </si>
  <si>
    <t>6.3</t>
  </si>
  <si>
    <t>6.4</t>
  </si>
  <si>
    <t>6.5</t>
  </si>
  <si>
    <t>6.6</t>
  </si>
  <si>
    <t>6.7</t>
  </si>
  <si>
    <t>No accessible media coordinator. On hold until posiiton is filled.</t>
  </si>
  <si>
    <t>6.8</t>
  </si>
  <si>
    <t>6.9</t>
  </si>
  <si>
    <t>7.0 Creation and Adoption of Accessible Instructional Materials</t>
  </si>
  <si>
    <t>The campus has implemented processes and procedures to support faculty in creating and adopting accessible instructional materials</t>
  </si>
  <si>
    <t>7.1</t>
  </si>
  <si>
    <t>7.2</t>
  </si>
  <si>
    <t>7.3</t>
  </si>
  <si>
    <t>7.4</t>
  </si>
  <si>
    <t>7.5</t>
  </si>
  <si>
    <t>7.6</t>
  </si>
  <si>
    <t>7.7</t>
  </si>
  <si>
    <t>7.8</t>
  </si>
  <si>
    <t>7.9</t>
  </si>
  <si>
    <t>7.10</t>
  </si>
  <si>
    <t>7.11</t>
  </si>
  <si>
    <t>8.0 Communication Process Training Plan</t>
  </si>
  <si>
    <t>The campus has implemented a broad-based ATI awareness campaign, supported by a comprehensive training infrastructure to increase digital accessibility across the campus.</t>
  </si>
  <si>
    <t>8.11</t>
  </si>
  <si>
    <t>8.12</t>
  </si>
  <si>
    <t>8.13</t>
  </si>
  <si>
    <t>8.14</t>
  </si>
  <si>
    <t>9.0 Communication Process Training Plan</t>
  </si>
  <si>
    <t>Annually review and update the ATI Instructional Materials Accessibility Plan.</t>
  </si>
  <si>
    <t>9.3</t>
  </si>
  <si>
    <t>9.4</t>
  </si>
  <si>
    <t>1.0 Web Accessibility Evaluation Process</t>
  </si>
  <si>
    <t>Identify and repair or replace inaccessible websites, web applications (web or mobile), and digital content.</t>
  </si>
  <si>
    <r>
      <rPr>
        <b/>
        <sz val="14"/>
        <color theme="1"/>
        <rFont val="Calibri"/>
        <family val="2"/>
        <scheme val="minor"/>
      </rPr>
      <t>1.1</t>
    </r>
  </si>
  <si>
    <r>
      <rPr>
        <b/>
        <sz val="14"/>
        <color theme="1"/>
        <rFont val="Calibri"/>
        <family val="2"/>
        <scheme val="minor"/>
      </rPr>
      <t>1.2</t>
    </r>
  </si>
  <si>
    <r>
      <rPr>
        <b/>
        <sz val="14"/>
        <color theme="1"/>
        <rFont val="Calibri"/>
        <family val="2"/>
        <scheme val="minor"/>
      </rPr>
      <t>1.6</t>
    </r>
  </si>
  <si>
    <t>1.10</t>
  </si>
  <si>
    <r>
      <rPr>
        <b/>
        <sz val="14"/>
        <color theme="1"/>
        <rFont val="Calibri"/>
        <family val="2"/>
        <scheme val="minor"/>
      </rPr>
      <t>1.12</t>
    </r>
  </si>
  <si>
    <t>1.13</t>
  </si>
  <si>
    <r>
      <rPr>
        <b/>
        <sz val="14"/>
        <color theme="1"/>
        <rFont val="Calibri"/>
        <family val="2"/>
        <scheme val="minor"/>
      </rPr>
      <t>1.14</t>
    </r>
  </si>
  <si>
    <t>1.15</t>
  </si>
  <si>
    <t>1.16</t>
  </si>
  <si>
    <t>1.17</t>
  </si>
  <si>
    <t>1.18</t>
  </si>
  <si>
    <r>
      <rPr>
        <b/>
        <sz val="14"/>
        <color theme="1"/>
        <rFont val="Calibri"/>
        <family val="2"/>
        <scheme val="minor"/>
      </rPr>
      <t>1.19</t>
    </r>
  </si>
  <si>
    <t>2.0 New Website / Web Application and Digital Content Design and Development Process</t>
  </si>
  <si>
    <t>New website, application (web or mobile)New website/web application and digital content development complies with all Section 508 accessibility guidelines.</t>
  </si>
  <si>
    <t>DPRC, ITS and SM&amp;C completed migration of the majority of campus websites to Drupal 8</t>
  </si>
  <si>
    <t>@ DPRC, ITS and SM&amp;C will collaborate on a plan for a replacement website content management system for faculty websites. @ DPRC, ITS and SM&amp;C will collaborate on a plan to automatically migrate campus websites to Drupal 9</t>
  </si>
  <si>
    <t>2.1</t>
  </si>
  <si>
    <t>2.2</t>
  </si>
  <si>
    <t>2.3</t>
  </si>
  <si>
    <t>2.4</t>
  </si>
  <si>
    <t>2.5</t>
  </si>
  <si>
    <t>2.6</t>
  </si>
  <si>
    <t>2.7</t>
  </si>
  <si>
    <t>2.8</t>
  </si>
  <si>
    <t>2.9</t>
  </si>
  <si>
    <t>3.0 Ongoing Monitoring Processs</t>
  </si>
  <si>
    <t>Updating and maintenance of  websites, applications (web or mobile) and digital content comply with Section 508 Accessibility Standards</t>
  </si>
  <si>
    <t>DPRC will work to implement a replacement to the campus automated accessibility tool (Compliance Sheriff) based on the outcome of the CSU Web Monitoring and Reporting RFP.</t>
  </si>
  <si>
    <t>3.1</t>
  </si>
  <si>
    <t>3.2</t>
  </si>
  <si>
    <t>3.3</t>
  </si>
  <si>
    <t>3.4</t>
  </si>
  <si>
    <t>3.5</t>
  </si>
  <si>
    <t>3.6</t>
  </si>
  <si>
    <t>3.7</t>
  </si>
  <si>
    <t>3.8</t>
  </si>
  <si>
    <t>3.9</t>
  </si>
  <si>
    <t>3.10</t>
  </si>
  <si>
    <t>3.11</t>
  </si>
  <si>
    <t>4.0   Exemptions and Alternatives Process (entire goal and success indicators removed)</t>
  </si>
  <si>
    <t>5.0 Training Process</t>
  </si>
  <si>
    <t>Professional development training has incorporated Section 508 accessibility guidelines into website and application (web or mobile) development and digital content preparation.</t>
  </si>
  <si>
    <t>5.3</t>
  </si>
  <si>
    <t>5.4</t>
  </si>
  <si>
    <t>5.9</t>
  </si>
  <si>
    <t>5.10</t>
  </si>
  <si>
    <t>6.0 Communication Process</t>
  </si>
  <si>
    <t>In general, the campus community is aware of Section 508 guidelines to make web-based information available to everyone (students, staff, faculty and the general public) regardless of disability.</t>
  </si>
  <si>
    <t>7.0 ATI Web Accessibility Campus Plan</t>
  </si>
  <si>
    <t>Annually review and update the ATI Web Accessibility Plan.</t>
  </si>
  <si>
    <t>Name</t>
  </si>
  <si>
    <t>Title</t>
  </si>
  <si>
    <t>Department</t>
  </si>
  <si>
    <t>ATI Role</t>
  </si>
  <si>
    <t>Daniel Fontaine</t>
  </si>
  <si>
    <t>DPRC</t>
  </si>
  <si>
    <t>ATI designee</t>
  </si>
  <si>
    <t>Ed Daranciang</t>
  </si>
  <si>
    <t>Web, Steering</t>
  </si>
  <si>
    <t>Andrew Roderick</t>
  </si>
  <si>
    <t>AT</t>
  </si>
  <si>
    <t>IM, Steering</t>
  </si>
  <si>
    <t>Deborah Masters</t>
  </si>
  <si>
    <t>Library</t>
  </si>
  <si>
    <t>Christopher Novak</t>
  </si>
  <si>
    <t>Head of Library Information Technology (ITC)</t>
  </si>
  <si>
    <t>Angie Petty</t>
  </si>
  <si>
    <t>Instructional Designer (ITC)</t>
  </si>
  <si>
    <t>Nancy Trinh</t>
  </si>
  <si>
    <t>Buyer 3 Lead</t>
  </si>
  <si>
    <t>Procurement &amp; Support Services</t>
  </si>
  <si>
    <t>Pro, Steering</t>
  </si>
  <si>
    <t>Barbara Stein</t>
  </si>
  <si>
    <t>Director of Marketing and Brand Strategy</t>
  </si>
  <si>
    <t>Strategic Marketing &amp; Comm</t>
  </si>
  <si>
    <t>Nicole Redding</t>
  </si>
  <si>
    <t>Steering</t>
  </si>
  <si>
    <t>Nish Malik</t>
  </si>
  <si>
    <t>AVP Information Technology Services / CIO</t>
  </si>
  <si>
    <t>ITS</t>
  </si>
  <si>
    <t>ATI Executuve Sponsor</t>
  </si>
  <si>
    <t>Guisselle Nunez*</t>
  </si>
  <si>
    <t>AVP Strategic Marketing &amp; Communications</t>
  </si>
  <si>
    <t>SM&amp;C</t>
  </si>
  <si>
    <t>Anoshua Chaudhuri</t>
  </si>
  <si>
    <t>CEETL</t>
  </si>
  <si>
    <t>John Gates*</t>
  </si>
  <si>
    <t xml:space="preserve">Executive Director of Financial Services </t>
  </si>
  <si>
    <t>Administration &amp; Finance</t>
  </si>
  <si>
    <t>Steering, Procurement</t>
  </si>
  <si>
    <t>Diane Bettencourt</t>
  </si>
  <si>
    <t>Procurement</t>
  </si>
  <si>
    <t>Shawn Hicks</t>
  </si>
  <si>
    <t>Faculty Sponsor?</t>
  </si>
  <si>
    <t>Christopher Clark</t>
  </si>
  <si>
    <t>Communications Team Manager (ADMIN 2)</t>
  </si>
  <si>
    <t>College of Liberal &amp; Creative Arts</t>
  </si>
  <si>
    <t>Dai To</t>
  </si>
  <si>
    <t>SAEM</t>
  </si>
  <si>
    <t>Cristian Alvarado</t>
  </si>
  <si>
    <t>LMS Administrator (ITC)</t>
  </si>
  <si>
    <t>IM</t>
  </si>
  <si>
    <t>?</t>
  </si>
  <si>
    <t>Status Level</t>
  </si>
  <si>
    <t>Description of Procedures</t>
  </si>
  <si>
    <t>Description of Documentation</t>
  </si>
  <si>
    <t>Description of Documentation Evidence</t>
  </si>
  <si>
    <t>Description of Resources</t>
  </si>
  <si>
    <t>ATI Report Evidence Column</t>
  </si>
  <si>
    <t>Status Value</t>
  </si>
  <si>
    <t>No action has yet been taken.</t>
  </si>
  <si>
    <r>
      <rPr>
        <b/>
        <sz val="11"/>
        <color theme="1"/>
        <rFont val="Calibri"/>
        <family val="2"/>
        <scheme val="minor"/>
      </rPr>
      <t>No documentation has yet been generated.</t>
    </r>
    <r>
      <rPr>
        <sz val="11"/>
        <color theme="1"/>
        <rFont val="Calibri"/>
        <family val="2"/>
        <scheme val="minor"/>
      </rPr>
      <t xml:space="preserve">
•	Success indicator should be identified in ATI campus Plan with reason stating why it is not started.</t>
    </r>
  </si>
  <si>
    <t>Success indicator should be identified in ATI campus Plan with reason stating why it is not started.</t>
  </si>
  <si>
    <t>No resources have yet been allocated.</t>
  </si>
  <si>
    <t>N/A</t>
  </si>
  <si>
    <t>Campus has an ad hoc or developing practice.  Any procedures in place are generally ad hoc.</t>
  </si>
  <si>
    <r>
      <rPr>
        <b/>
        <sz val="11"/>
        <color theme="1"/>
        <rFont val="Calibri"/>
        <family val="2"/>
        <scheme val="minor"/>
      </rPr>
      <t>Documentation is generally absent</t>
    </r>
    <r>
      <rPr>
        <sz val="11"/>
        <color theme="1"/>
        <rFont val="Calibri"/>
        <family val="2"/>
        <scheme val="minor"/>
      </rPr>
      <t>.
*	Success Indicator should be identified in campus ATI Plan with proposed implementation plan</t>
    </r>
  </si>
  <si>
    <t>Brief description of proposed implementation plan</t>
  </si>
  <si>
    <t>Resources have been tentatively identified but not yet allocated</t>
  </si>
  <si>
    <t>Campus has a common practice.  Any procedures in place are consistent but informal.</t>
  </si>
  <si>
    <r>
      <rPr>
        <b/>
        <sz val="11"/>
        <color theme="1"/>
        <rFont val="Calibri"/>
        <family val="2"/>
        <scheme val="minor"/>
      </rPr>
      <t>Documentation, if present, is in working draft form.</t>
    </r>
    <r>
      <rPr>
        <sz val="11"/>
        <color theme="1"/>
        <rFont val="Calibri"/>
        <family val="2"/>
        <scheme val="minor"/>
      </rPr>
      <t xml:space="preserve">
*	Draft documentation is stored in a campus electronic location</t>
    </r>
  </si>
  <si>
    <t>* Include link to documentation or location of process document on internal drive. * If no documentation has been written then briefly describe the process.</t>
  </si>
  <si>
    <r>
      <rPr>
        <b/>
        <sz val="11"/>
        <color theme="1"/>
        <rFont val="Calibri"/>
        <family val="2"/>
        <scheme val="minor"/>
      </rPr>
      <t>Resources have been firmly identified but not yet allocated.</t>
    </r>
    <r>
      <rPr>
        <sz val="11"/>
        <color theme="1"/>
        <rFont val="Calibri"/>
        <family val="2"/>
        <scheme val="minor"/>
      </rPr>
      <t xml:space="preserve">
*	Job descriptions/new positions that need ATI tasks added should be identified in campus plan
*	Budget allocations should be identified in campus plan</t>
    </r>
  </si>
  <si>
    <t>*	Include identified job titles associated with the indicator
*Include other identified resources associated with the indicator</t>
  </si>
  <si>
    <t>Campus has a standard practice.  Procedures are consistent and formal</t>
  </si>
  <si>
    <r>
      <rPr>
        <b/>
        <sz val="11"/>
        <color theme="1"/>
        <rFont val="Calibri"/>
        <family val="2"/>
        <scheme val="minor"/>
      </rPr>
      <t>Documentation is complete and fully reflects the standard practice.</t>
    </r>
    <r>
      <rPr>
        <sz val="11"/>
        <color theme="1"/>
        <rFont val="Calibri"/>
        <family val="2"/>
        <scheme val="minor"/>
      </rPr>
      <t xml:space="preserve">
*	Process documentation is stored in a campus electronic location and process has been communicated to the campus.</t>
    </r>
  </si>
  <si>
    <t>*	Include link to documentation or location of process document on internal drive</t>
  </si>
  <si>
    <r>
      <rPr>
        <b/>
        <sz val="11"/>
        <color theme="1"/>
        <rFont val="Calibri"/>
        <family val="2"/>
        <scheme val="minor"/>
      </rPr>
      <t>Resources have been both identified and allocated.</t>
    </r>
    <r>
      <rPr>
        <sz val="11"/>
        <color theme="1"/>
        <rFont val="Calibri"/>
        <family val="2"/>
        <scheme val="minor"/>
      </rPr>
      <t xml:space="preserve">
*	ATI tasks have been added to campus job descriptions.
*	New positions have been created as needed.
*	Budget allocated for ATI processes</t>
    </r>
  </si>
  <si>
    <t>* Include job titles associated with the indicator
*Include budget allocations or other resources associated with the indicator</t>
  </si>
  <si>
    <t>Campus has a mature practice.  Additional procedures are in place to track and capture success indicators (milestones and measures of success).</t>
  </si>
  <si>
    <r>
      <rPr>
        <b/>
        <sz val="11"/>
        <color theme="1"/>
        <rFont val="Calibri"/>
        <family val="2"/>
        <scheme val="minor"/>
      </rPr>
      <t xml:space="preserve">Documentation is complete and fully reflects the standard practice. </t>
    </r>
    <r>
      <rPr>
        <sz val="11"/>
        <color theme="1"/>
        <rFont val="Calibri"/>
        <family val="2"/>
        <scheme val="minor"/>
      </rPr>
      <t xml:space="preserve">
*	Documented milestones and measures of success.
*	Process documentation is stored in a campus electronic location and process has been communicated to the campus.</t>
    </r>
  </si>
  <si>
    <t>*	Include link to milestones and measures documentation or location of process document on internal drive
*	Include link to documentation or location of process document on internal drive</t>
  </si>
  <si>
    <r>
      <rPr>
        <b/>
        <sz val="11"/>
        <color theme="1"/>
        <rFont val="Calibri"/>
        <family val="2"/>
        <scheme val="minor"/>
      </rPr>
      <t>Resources have been both identified and allocated.</t>
    </r>
    <r>
      <rPr>
        <sz val="11"/>
        <color theme="1"/>
        <rFont val="Calibri"/>
        <family val="2"/>
        <scheme val="minor"/>
      </rPr>
      <t xml:space="preserve">
*	Identified measures of success and collected success data
*	ATI tasks have been added to campus job descriptions
*New positions have been created as needed.
*	Budget allocated for ATI processes</t>
    </r>
  </si>
  <si>
    <t>*	Include job titles associated with the indicator
*	Include budget allocations or other resources associated with the indicator</t>
  </si>
  <si>
    <t>Optimizing</t>
  </si>
  <si>
    <t>The campus has a mature practice.  Additional procedures are in place to conduct regular administrative reviews of success indicators to gauge effectiveness and implement improvements.</t>
  </si>
  <si>
    <r>
      <rPr>
        <b/>
        <sz val="11"/>
        <color theme="1"/>
        <rFont val="Calibri"/>
        <family val="2"/>
        <scheme val="minor"/>
      </rPr>
      <t>Documentation is continually revised to reflect the managed practice.  Periodic administrative review of documentation is conducted.</t>
    </r>
    <r>
      <rPr>
        <sz val="11"/>
        <color theme="1"/>
        <rFont val="Calibri"/>
        <family val="2"/>
        <scheme val="minor"/>
      </rPr>
      <t xml:space="preserve">
*Documented administrative review
*	Documented milestones and measures of success.
*	Process documentation is stored in a campus electronic location and process has been communicated to the campus.</t>
    </r>
  </si>
  <si>
    <t>*Include link to administrative review documentation
*	Include link to milestones and measures documentation or location of process document on internal drive
*	Include link to documentation or location of process document on internal drive</t>
  </si>
  <si>
    <r>
      <rPr>
        <b/>
        <sz val="11"/>
        <color theme="1"/>
        <rFont val="Calibri"/>
        <family val="2"/>
        <scheme val="minor"/>
      </rPr>
      <t>Resources have been both identified and allocated.  Periodic administrative review of resource allocations is conducted.</t>
    </r>
    <r>
      <rPr>
        <sz val="11"/>
        <color theme="1"/>
        <rFont val="Calibri"/>
        <family val="2"/>
        <scheme val="minor"/>
      </rPr>
      <t xml:space="preserve">
*	Review process and success criteria – review for process improvement
*	Identified measures of success and collected success data
*	ATI tasks have been added to campus job descriptions 
*	New positions have been created as needed.
*	Budget allocated for ATI processes</t>
    </r>
  </si>
  <si>
    <t>*Include job titles associated with the indicator
*	Include budget allocations or other resources associated with the indicator</t>
  </si>
  <si>
    <t>ATI Resources</t>
  </si>
  <si>
    <t>URL</t>
  </si>
  <si>
    <t>https://ati.calstate.edu/instructional-materials/policy</t>
  </si>
  <si>
    <t>https://ati.calstate.edu/procurement/policy</t>
  </si>
  <si>
    <t>Web</t>
  </si>
  <si>
    <t>https://ati.calstate.edu/web/policy</t>
  </si>
  <si>
    <t>Implementation</t>
  </si>
  <si>
    <t>https://ati.calstate.edu/policy/implementation</t>
  </si>
  <si>
    <t>ATI President Summary Template</t>
  </si>
  <si>
    <t>https://sfsu.box.com/s/wib0kx0ns1n8ms6ojdkmyv2tgv40xgsn</t>
  </si>
  <si>
    <t>ATI Report Instructions</t>
  </si>
  <si>
    <t>https://sfsu.box.com/s/vmsjoperb4ptw0bxs3vboli5v5m1ca3k</t>
  </si>
  <si>
    <t>Future of ATI Report</t>
  </si>
  <si>
    <t>https://sfsu.box.com/s/zhhjbbp9h7qbr5kpmsy2c105e3zsjjjn</t>
  </si>
  <si>
    <t>ATI Policy</t>
  </si>
  <si>
    <t>https://calstate.policystat.com/policy/11430142/latest/</t>
  </si>
  <si>
    <t>Memos / Laws / Executive Orders</t>
  </si>
  <si>
    <t>Short Description</t>
  </si>
  <si>
    <t>EO 1111</t>
  </si>
  <si>
    <t>https://calstate.policystat.com/policy/9798168/latest/</t>
  </si>
  <si>
    <t>EO 926</t>
  </si>
  <si>
    <t>https://calstate.policystat.com/policy/9438890/latest</t>
  </si>
  <si>
    <t>CM AA-2006-41</t>
  </si>
  <si>
    <t>https://www.csun.edu/sites/default/files/Web_Accessibility_Coded_Memo_0.pdf</t>
  </si>
  <si>
    <t>CM AA-2007-04</t>
  </si>
  <si>
    <t>https://www.calstate.edu/csu-system/administration/codedmemos/Academic%20Affairs%20Coded%20Memos/AA-2007-04.pdf</t>
  </si>
  <si>
    <t>CM AA-2007-13</t>
  </si>
  <si>
    <t>https://www.calstate.edu/csu-system/administration/codedmemos/Academic%20Affairs%20Coded%20Memos/AA-2013-03.pdf</t>
  </si>
  <si>
    <t>CM AA- 2008-21</t>
  </si>
  <si>
    <t>https://adminfinance.fresnostate.edu/procurement/documents/Coded%20Memo%20AA200821--Accessible%20Technology%20Initiative06_12_08%20FINAL.pdf</t>
  </si>
  <si>
    <t>CM AA-2009-19</t>
  </si>
  <si>
    <t>https://www.cpp.edu/accessibility/documents/AACodedMemoAA-2009-19.pdf</t>
  </si>
  <si>
    <t>CM AA-2010-13</t>
  </si>
  <si>
    <t>CM AA-2011-21</t>
  </si>
  <si>
    <t>CM AA-2013-03</t>
  </si>
  <si>
    <t>CM AA-2015-22</t>
  </si>
  <si>
    <t>CM AA-2021 - Current</t>
  </si>
  <si>
    <t>https://ati.calstate.edu/sites/default/files/documents/documents/ATI%20Memo%20March%202021.pdf</t>
  </si>
  <si>
    <t>508 Standards and 255 Guidelines</t>
  </si>
  <si>
    <t>https://www.access-board.gov/ict/</t>
  </si>
  <si>
    <t>Related to procurement</t>
  </si>
  <si>
    <t>Academic Senate Policy #S12-264</t>
  </si>
  <si>
    <t>Academic Senate Policy #F10-257</t>
  </si>
  <si>
    <t xml:space="preserve"> Academic Senate Policy #S08-249</t>
  </si>
  <si>
    <t>Timely Adoption</t>
  </si>
  <si>
    <t>CA Senate Bill 302</t>
  </si>
  <si>
    <t>http://www.leginfo.ca.gov/pub/03-04/bill/sen/sb_0301-0350/sb_302_bill_20031011_chaptered.html</t>
  </si>
  <si>
    <t>GV 11135 )</t>
  </si>
  <si>
    <t>https://law.justia.com/codes/california/2011/gov/title-2/11135-11139.7/11135</t>
  </si>
  <si>
    <t>Previous President's Report Documents</t>
  </si>
  <si>
    <t>President Summary 19-20</t>
  </si>
  <si>
    <t>https://sfsu.box.com/s/1o3etm8xpcee0aosuwppieanfhm7y2hq</t>
  </si>
  <si>
    <t>President Summary 20-21</t>
  </si>
  <si>
    <t>https://sfsu.box.com/s/037wli8ykvdt3uim67cycmxh79btxc4x</t>
  </si>
  <si>
    <t>SF State Process Documents</t>
  </si>
  <si>
    <t>Web Process Document</t>
  </si>
  <si>
    <t>https://sfsu.box.com/s/bsky7ph9alkefa7s8un3ksfc8lmyeb6i</t>
  </si>
  <si>
    <t>Procurement Process Document</t>
  </si>
  <si>
    <t>https://sfsu.box.com/s/diiwm004t6grf5qnsvy9zssx2ynmpawz</t>
  </si>
  <si>
    <t>FAQ Goods and Services</t>
  </si>
  <si>
    <t>https://procurement.sfsu.edu/faqsgs</t>
  </si>
  <si>
    <t>Buying</t>
  </si>
  <si>
    <t>https://procurement.sfsu.edu/buying</t>
  </si>
  <si>
    <t>Vendor Accessibility Requirements</t>
  </si>
  <si>
    <t>https://access.sfsu.edu/ati/procurement/vpat</t>
  </si>
  <si>
    <t>Procurement Proceedure</t>
  </si>
  <si>
    <t>https://access.sfsu.edu/ati/procurement/procedure</t>
  </si>
  <si>
    <t>TAR Review</t>
  </si>
  <si>
    <t>https://its.sfsu.edu/technologyacquisitionreview</t>
  </si>
  <si>
    <t>Cloud Computing TAR</t>
  </si>
  <si>
    <t>https://qaservices.sfsu.edu/cloud-computing</t>
  </si>
  <si>
    <t>P-Card Policy</t>
  </si>
  <si>
    <t>https://sfsu.app.box.com/s/6ldtuo2sy7izpfscde8zuuqunetsnhgv</t>
  </si>
  <si>
    <t>Course Accessibility Checklist</t>
  </si>
  <si>
    <t>https://access.sfsu.edu/ati/content/sf-state-course-accessibility-checklist</t>
  </si>
  <si>
    <t>DPRC IM</t>
  </si>
  <si>
    <t>https://access.sfsu.edu/ati/instruction/</t>
  </si>
  <si>
    <t>Third Party Publishers Accessibility</t>
  </si>
  <si>
    <t>https://access.sfsu.edu/ati/instruction/publisher-content</t>
  </si>
  <si>
    <t>Third Party Publishers Accessibility/AT</t>
  </si>
  <si>
    <t>https://athelp.sfsu.edu/hc/en-us/articles/4401873234707</t>
  </si>
  <si>
    <t>WMES</t>
  </si>
  <si>
    <t>https://sfsu.box.com/s/hqejzq005i1vowu7nzrv9qc1cotugjdx</t>
  </si>
  <si>
    <t>Moving to Production Checklist</t>
  </si>
  <si>
    <t>Creating Accessible Web Content</t>
  </si>
  <si>
    <t>https://access.sfsu.edu/ati/webaccess/webcontent</t>
  </si>
  <si>
    <t>Web Accessibility Process</t>
  </si>
  <si>
    <t>https://access.sfsu.edu/ati/webaccess/process</t>
  </si>
  <si>
    <t>Web Monitoring</t>
  </si>
  <si>
    <t>https://access.sfsu.edu/ati/webaccess/monitor/</t>
  </si>
  <si>
    <t>Gap</t>
  </si>
  <si>
    <t>Need to locate more evidence</t>
  </si>
  <si>
    <t>just info available on access.sfsu.edu?</t>
  </si>
  <si>
    <r>
      <rPr>
        <b/>
        <sz val="11"/>
        <color theme="1"/>
        <rFont val="Calibri"/>
        <family val="2"/>
        <scheme val="minor"/>
      </rPr>
      <t>Can't find this evidence on the sites provided.</t>
    </r>
    <r>
      <rPr>
        <sz val="11"/>
        <color theme="1"/>
        <rFont val="Calibri"/>
        <family val="2"/>
        <scheme val="minor"/>
      </rPr>
      <t xml:space="preserve"> </t>
    </r>
  </si>
  <si>
    <t>No presentations happened in 2023</t>
  </si>
  <si>
    <t xml:space="preserve">No Exec Sponsor </t>
  </si>
  <si>
    <t xml:space="preserve">No ATI Steering committee currently meeting </t>
  </si>
  <si>
    <t>No procurement subcommittee</t>
  </si>
  <si>
    <t>https://grad.sfsu.edu/content/thesis-dissertation-guidelines</t>
  </si>
  <si>
    <t>Relationship to ATI</t>
  </si>
  <si>
    <t xml:space="preserve">Ann Roll </t>
  </si>
  <si>
    <t xml:space="preserve">Director of Systemwide Digital Library Content </t>
  </si>
  <si>
    <t>CO</t>
  </si>
  <si>
    <t>responsible for license negotiations</t>
  </si>
  <si>
    <t>Email</t>
  </si>
  <si>
    <t>aroll@calstate.edu</t>
  </si>
  <si>
    <t>https://calstate.atlassian.net/wiki/spaces/DR/pages/2673836046/ETD+Collection+Accessibility</t>
  </si>
  <si>
    <t>https://batv.quartexcollections.com/</t>
  </si>
  <si>
    <t>are all captioned</t>
  </si>
  <si>
    <t>John Kim</t>
  </si>
  <si>
    <t>Textbook data</t>
  </si>
  <si>
    <t>Vice Provost of Academic Resources</t>
  </si>
  <si>
    <t>Academic Resources</t>
  </si>
  <si>
    <t>P-Card Training</t>
  </si>
  <si>
    <t xml:space="preserve">1 on 1 training with buyers.  Larry Lee does the training. </t>
  </si>
  <si>
    <t xml:space="preserve">David Chelliah </t>
  </si>
  <si>
    <t>Accounts Payable Manager</t>
  </si>
  <si>
    <t>Accounts Payable</t>
  </si>
  <si>
    <t>TAR page is linked in procurement page</t>
  </si>
  <si>
    <t>Larry Lee</t>
  </si>
  <si>
    <t>Buyer 3</t>
  </si>
  <si>
    <t>Procurement Training</t>
  </si>
  <si>
    <t xml:space="preserve">https://sfsu.app.box.com/s/6ldtuo2sy7izpfscde8zuuqunetsnhgv
</t>
  </si>
  <si>
    <t>Web Accessibility Coordinator
https://sfsu.box.com/s/bsky7ph9alkefa7s8un3ksfc8lmyeb6i</t>
  </si>
  <si>
    <t>We're not able to identify when an organization on campus pays for a website that is outside of the resources maintained by ITS. Only centrally managed web resources can be tracked. No process in place to maintain a unique inventory.</t>
  </si>
  <si>
    <t>Web Accessibility Coordinator
ATI Accessibility reviews are conducted upon request before new sites are published.  High level process in place, however no implementation for 22/23.
https://sfsu.box.com/s/bsky7ph9alkefa7s8un3ksfc8lmyeb6i</t>
  </si>
  <si>
    <t>https://access.sfsu.edu/sites/default/files/documents/Web_Manual_Evaluation_Summary.doc
is dead</t>
  </si>
  <si>
    <t>Web Accessibility Coordinator
Process document in department share https://sfsu.box.com/s/bsky7ph9alkefa7s8un3ksfc8lmyeb6i</t>
  </si>
  <si>
    <t>Web Accessibility Coordinator
Process document in department share https://sfsu.box.com/s/bsky7ph9alkefa7s8un3ksfc8lmyeb6i
Users may sign up for a verbit account.</t>
  </si>
  <si>
    <t xml:space="preserve">Buyer III. All purchases are trained on the TAR process. However, no training or reminders were sent out in 2023. We have no contact in HR for new employee orientation. 
https://sfsu.box.com/s/gdgvqi3snozkzsdvolv8tuy81av8fqdh </t>
  </si>
  <si>
    <t>ATI TAR process is included in P Card training
https://sfsu.app.box.com/s/kgpvh4xtsjufog9v36tjcit335xoq6iv</t>
  </si>
  <si>
    <t xml:space="preserve">The previous executive sponor retired in 2022. Two co-executive sponsors will share duties in 2024. There is currently no process to share ICT procurement awareness from executive support. </t>
  </si>
  <si>
    <t>Christopher Rose</t>
  </si>
  <si>
    <t>Market Leader</t>
  </si>
  <si>
    <t>From Follet</t>
  </si>
  <si>
    <t>Follet</t>
  </si>
  <si>
    <t xml:space="preserve">We retired compliance sheriff. There are currently no quarterly scans being shared. We plan to use Level Access for quarterly reporting. 
Process is established but not implemented until Level Access reporting work is complete.
https://sfsu.box.com/s/l1ss6nryya05277pwy5ji43w9039r4sm  </t>
  </si>
  <si>
    <t xml:space="preserve">Web Accessibility Coordinator. Web content managers.
Responsibility for regluar mainainance of websites is assigned to the content owners. 
DPRC is available for support. </t>
  </si>
  <si>
    <t xml:space="preserve">Web Accessibility Coordinator. Web content managers.
Responsibility for regluar mainainance of websites is assigned to the content owners. 
DPRC is available for support. 
https://sfsu.box.com/s/l1ss6nryya05277pwy5ji43w9039r4sm  </t>
  </si>
  <si>
    <t xml:space="preserve">PDFs uploaded to Drupal are not scanned regularly for accessibility. </t>
  </si>
  <si>
    <t>https://athelp.sfsu.edu/hc/en-us/articles/4401873234707-Guidelines-for-adopting-publisher-and-other-third-party-content</t>
  </si>
  <si>
    <t>Adopting Publisher Third Party Content</t>
  </si>
  <si>
    <t>UDL Microcourse</t>
  </si>
  <si>
    <t>https://ilearn.sfsu.edu/collab/course/view.php?id=2055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</si>
</sst>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11"/>
      <color theme="0" tint="-0.499984740745262"/>
      <name val="Calibri"/>
      <family val="2"/>
      <scheme val="minor"/>
    </font>
    <font>
      <b/>
      <sz val="11"/>
      <color theme="1"/>
      <name val="Calibri"/>
      <family val="2"/>
      <scheme val="minor"/>
    </font>
    <font>
      <sz val="12"/>
      <color theme="1"/>
      <name val="Calibri"/>
      <family val="2"/>
      <scheme val="minor"/>
    </font>
    <font>
      <sz val="14"/>
      <color theme="1"/>
      <name val="Calibri"/>
      <family val="2"/>
      <scheme val="minor"/>
    </font>
    <font>
      <sz val="14"/>
      <color theme="0" tint="-0.499984740745262"/>
      <name val="Calibri"/>
      <family val="2"/>
      <scheme val="minor"/>
    </font>
    <font>
      <sz val="16"/>
      <color theme="1"/>
      <name val="Calibri"/>
      <family val="2"/>
      <scheme val="minor"/>
    </font>
    <font>
      <sz val="24"/>
      <color theme="1"/>
      <name val="Calibri"/>
      <family val="2"/>
      <scheme val="minor"/>
    </font>
    <font>
      <sz val="26"/>
      <color theme="1"/>
      <name val="Calibri"/>
      <family val="2"/>
      <scheme val="minor"/>
    </font>
    <font>
      <sz val="11"/>
      <color theme="0" tint="-4.9989318521683403E-2"/>
      <name val="Calibri"/>
      <family val="2"/>
      <scheme val="minor"/>
    </font>
    <font>
      <b/>
      <sz val="24"/>
      <color theme="1"/>
      <name val="Calibri"/>
      <family val="2"/>
      <scheme val="minor"/>
    </font>
    <font>
      <sz val="26"/>
      <color theme="0" tint="-0.499984740745262"/>
      <name val="Calibri"/>
      <family val="2"/>
      <scheme val="minor"/>
    </font>
    <font>
      <sz val="11"/>
      <name val="Calibri"/>
      <family val="2"/>
      <scheme val="minor"/>
    </font>
    <font>
      <sz val="12"/>
      <name val="Calibri"/>
      <family val="2"/>
      <scheme val="minor"/>
    </font>
    <font>
      <b/>
      <sz val="14"/>
      <color theme="1"/>
      <name val="Calibri"/>
      <family val="2"/>
      <scheme val="minor"/>
    </font>
    <font>
      <b/>
      <sz val="14"/>
      <color theme="0" tint="-0.499984740745262"/>
      <name val="Calibri"/>
      <family val="2"/>
      <scheme val="minor"/>
    </font>
    <font>
      <b/>
      <sz val="14"/>
      <name val="Calibri"/>
      <family val="2"/>
      <scheme val="minor"/>
    </font>
    <font>
      <sz val="8"/>
      <name val="Calibri"/>
      <family val="2"/>
      <scheme val="minor"/>
    </font>
    <font>
      <sz val="14"/>
      <name val="Calibri"/>
      <family val="2"/>
      <scheme val="minor"/>
    </font>
    <font>
      <u/>
      <sz val="11"/>
      <color theme="10"/>
      <name val="Calibri"/>
      <family val="2"/>
      <scheme val="minor"/>
    </font>
    <font>
      <sz val="11"/>
      <color theme="1"/>
      <name val="Calibri"/>
      <family val="2"/>
    </font>
    <font>
      <sz val="11"/>
      <name val="Calibri"/>
      <family val="2"/>
    </font>
    <font>
      <sz val="11"/>
      <color theme="0" tint="-0.499984740745262"/>
      <name val="Calibri"/>
      <family val="2"/>
    </font>
    <font>
      <sz val="14"/>
      <color theme="1"/>
      <name val="Calibri"/>
      <family val="2"/>
    </font>
    <font>
      <sz val="14"/>
      <name val="Calibri"/>
      <family val="2"/>
    </font>
    <font>
      <sz val="16"/>
      <name val="Calibri"/>
      <family val="2"/>
      <scheme val="minor"/>
    </font>
    <font>
      <b/>
      <u/>
      <sz val="11"/>
      <color theme="10"/>
      <name val="Calibri"/>
      <family val="2"/>
      <scheme val="minor"/>
    </font>
    <font>
      <b/>
      <sz val="12"/>
      <color theme="1"/>
      <name val="Calibri"/>
      <family val="2"/>
      <scheme val="minor"/>
    </font>
    <font>
      <sz val="11"/>
      <color theme="0" tint="-0.14999847407452621"/>
      <name val="Calibri"/>
      <family val="2"/>
      <scheme val="minor"/>
    </font>
    <font>
      <b/>
      <sz val="12"/>
      <color rgb="FFC00000"/>
      <name val="Calibri"/>
      <family val="2"/>
      <scheme val="minor"/>
    </font>
    <font>
      <sz val="12"/>
      <color rgb="FF000000"/>
      <name val="Aptos"/>
      <family val="2"/>
    </font>
  </fonts>
  <fills count="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theme="2" tint="-9.9978637043366805E-2"/>
        <bgColor indexed="64"/>
      </patternFill>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9" fillId="0" borderId="0" applyNumberFormat="0" applyFill="0" applyBorder="0" applyAlignment="0" applyProtection="0"/>
  </cellStyleXfs>
  <cellXfs count="273">
    <xf numFmtId="0" fontId="0" fillId="0" borderId="0" xfId="0"/>
    <xf numFmtId="0" fontId="0" fillId="0" borderId="0" xfId="0" applyAlignment="1">
      <alignment wrapText="1"/>
    </xf>
    <xf numFmtId="0" fontId="1" fillId="0" borderId="0" xfId="0" applyFont="1"/>
    <xf numFmtId="0" fontId="3" fillId="0" borderId="0" xfId="0" applyFont="1"/>
    <xf numFmtId="0" fontId="4" fillId="0" borderId="0" xfId="0" applyFont="1"/>
    <xf numFmtId="0" fontId="8" fillId="0" borderId="0" xfId="0" applyFont="1"/>
    <xf numFmtId="49" fontId="3" fillId="0" borderId="4" xfId="0" applyNumberFormat="1" applyFont="1" applyBorder="1" applyAlignment="1">
      <alignment wrapText="1"/>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3" fillId="0" borderId="5" xfId="0" applyFont="1" applyBorder="1" applyAlignment="1">
      <alignment wrapText="1"/>
    </xf>
    <xf numFmtId="0" fontId="3" fillId="0" borderId="0" xfId="0" applyFont="1" applyAlignment="1">
      <alignment wrapText="1"/>
    </xf>
    <xf numFmtId="0" fontId="0" fillId="0" borderId="11" xfId="0" applyBorder="1"/>
    <xf numFmtId="0" fontId="3" fillId="0" borderId="8" xfId="0" applyFont="1" applyBorder="1" applyAlignment="1">
      <alignment wrapText="1"/>
    </xf>
    <xf numFmtId="0" fontId="4" fillId="0" borderId="10" xfId="0" applyFont="1" applyBorder="1"/>
    <xf numFmtId="0" fontId="4" fillId="0" borderId="11" xfId="0" applyFont="1" applyBorder="1"/>
    <xf numFmtId="49" fontId="0" fillId="0" borderId="10" xfId="0" applyNumberFormat="1" applyBorder="1" applyAlignment="1">
      <alignment wrapText="1"/>
    </xf>
    <xf numFmtId="0" fontId="1" fillId="0" borderId="8" xfId="0" applyFont="1" applyBorder="1"/>
    <xf numFmtId="49" fontId="0" fillId="0" borderId="4" xfId="0" applyNumberFormat="1" applyBorder="1" applyAlignment="1">
      <alignment wrapText="1"/>
    </xf>
    <xf numFmtId="0" fontId="1" fillId="2" borderId="0" xfId="0" applyFont="1" applyFill="1"/>
    <xf numFmtId="0" fontId="5" fillId="2" borderId="0" xfId="0" applyFont="1" applyFill="1"/>
    <xf numFmtId="0" fontId="2" fillId="0" borderId="7" xfId="0" applyFont="1" applyBorder="1"/>
    <xf numFmtId="0" fontId="0" fillId="0" borderId="10" xfId="0" applyBorder="1"/>
    <xf numFmtId="49" fontId="3" fillId="0" borderId="10" xfId="0" applyNumberFormat="1" applyFont="1" applyBorder="1" applyAlignment="1">
      <alignment wrapText="1"/>
    </xf>
    <xf numFmtId="0" fontId="1" fillId="3" borderId="0" xfId="0" applyFont="1" applyFill="1"/>
    <xf numFmtId="0" fontId="13" fillId="0" borderId="0" xfId="0" applyFont="1" applyAlignment="1">
      <alignment wrapText="1"/>
    </xf>
    <xf numFmtId="0" fontId="12" fillId="0" borderId="0" xfId="0" applyFont="1"/>
    <xf numFmtId="0" fontId="12" fillId="2" borderId="0" xfId="0" applyFont="1" applyFill="1"/>
    <xf numFmtId="0" fontId="0" fillId="3" borderId="0" xfId="0" applyFill="1"/>
    <xf numFmtId="0" fontId="8" fillId="0" borderId="6" xfId="0" applyFont="1" applyBorder="1"/>
    <xf numFmtId="0" fontId="14" fillId="0" borderId="0" xfId="0" quotePrefix="1" applyFont="1" applyAlignment="1">
      <alignment wrapText="1"/>
    </xf>
    <xf numFmtId="0" fontId="14" fillId="0" borderId="4" xfId="0" quotePrefix="1" applyFont="1" applyBorder="1" applyAlignment="1">
      <alignment wrapText="1"/>
    </xf>
    <xf numFmtId="0" fontId="14" fillId="0" borderId="10" xfId="0" quotePrefix="1" applyFont="1" applyBorder="1" applyAlignment="1">
      <alignment wrapText="1"/>
    </xf>
    <xf numFmtId="0" fontId="15" fillId="0" borderId="10" xfId="0" quotePrefix="1" applyFont="1" applyBorder="1" applyAlignment="1">
      <alignment wrapText="1"/>
    </xf>
    <xf numFmtId="0" fontId="14" fillId="0" borderId="10" xfId="0" quotePrefix="1" applyFont="1" applyBorder="1"/>
    <xf numFmtId="0" fontId="14" fillId="0" borderId="7" xfId="0" quotePrefix="1" applyFont="1" applyBorder="1"/>
    <xf numFmtId="0" fontId="15" fillId="0" borderId="7" xfId="0" quotePrefix="1" applyFont="1" applyBorder="1"/>
    <xf numFmtId="0" fontId="14" fillId="0" borderId="7" xfId="0" quotePrefix="1" applyFont="1" applyBorder="1" applyAlignment="1">
      <alignment wrapText="1"/>
    </xf>
    <xf numFmtId="0" fontId="4" fillId="0" borderId="4" xfId="0" quotePrefix="1" applyFont="1" applyBorder="1" applyAlignment="1">
      <alignment wrapText="1"/>
    </xf>
    <xf numFmtId="0" fontId="4" fillId="0" borderId="10" xfId="0" quotePrefix="1" applyFont="1" applyBorder="1" applyAlignment="1">
      <alignment wrapText="1"/>
    </xf>
    <xf numFmtId="0" fontId="4" fillId="0" borderId="7" xfId="0" quotePrefix="1" applyFont="1" applyBorder="1"/>
    <xf numFmtId="0" fontId="4" fillId="0" borderId="7" xfId="0" quotePrefix="1" applyFont="1" applyBorder="1" applyAlignment="1">
      <alignment wrapText="1"/>
    </xf>
    <xf numFmtId="0" fontId="6" fillId="0" borderId="4" xfId="0" quotePrefix="1" applyFont="1" applyBorder="1" applyAlignment="1">
      <alignment wrapText="1"/>
    </xf>
    <xf numFmtId="0" fontId="6" fillId="0" borderId="10" xfId="0" quotePrefix="1" applyFont="1" applyBorder="1" applyAlignment="1">
      <alignment wrapText="1"/>
    </xf>
    <xf numFmtId="0" fontId="6" fillId="0" borderId="7" xfId="0" quotePrefix="1" applyFont="1" applyBorder="1" applyAlignment="1">
      <alignment wrapText="1"/>
    </xf>
    <xf numFmtId="0" fontId="6" fillId="0" borderId="7" xfId="0" quotePrefix="1" applyFont="1" applyBorder="1"/>
    <xf numFmtId="0" fontId="6" fillId="0" borderId="10" xfId="0" quotePrefix="1" applyFont="1" applyBorder="1"/>
    <xf numFmtId="0" fontId="16" fillId="0" borderId="10" xfId="0" quotePrefix="1" applyFont="1" applyBorder="1" applyAlignment="1">
      <alignment wrapText="1"/>
    </xf>
    <xf numFmtId="0" fontId="18" fillId="0" borderId="5" xfId="0" applyFont="1" applyBorder="1"/>
    <xf numFmtId="0" fontId="18" fillId="0" borderId="0" xfId="0" applyFont="1"/>
    <xf numFmtId="0" fontId="18" fillId="0" borderId="8" xfId="0" applyFont="1" applyBorder="1"/>
    <xf numFmtId="0" fontId="0" fillId="0" borderId="0" xfId="0" applyAlignment="1">
      <alignment vertical="center" wrapText="1"/>
    </xf>
    <xf numFmtId="49" fontId="12" fillId="0" borderId="11" xfId="0" applyNumberFormat="1" applyFont="1" applyBorder="1" applyAlignment="1">
      <alignment wrapText="1"/>
    </xf>
    <xf numFmtId="0" fontId="12" fillId="0" borderId="0" xfId="1" applyNumberFormat="1" applyFont="1" applyBorder="1" applyAlignment="1">
      <alignment horizontal="left" vertical="center" wrapText="1"/>
    </xf>
    <xf numFmtId="49" fontId="12" fillId="0" borderId="9" xfId="0" applyNumberFormat="1" applyFont="1" applyBorder="1" applyAlignment="1">
      <alignment wrapText="1"/>
    </xf>
    <xf numFmtId="0" fontId="12" fillId="0" borderId="6" xfId="0" applyFont="1" applyBorder="1" applyAlignment="1">
      <alignment wrapText="1"/>
    </xf>
    <xf numFmtId="0" fontId="12" fillId="0" borderId="11" xfId="0" applyFont="1" applyBorder="1" applyAlignment="1">
      <alignment wrapText="1"/>
    </xf>
    <xf numFmtId="0" fontId="12" fillId="0" borderId="9" xfId="0" applyFont="1" applyBorder="1" applyAlignment="1">
      <alignment wrapText="1"/>
    </xf>
    <xf numFmtId="0" fontId="4" fillId="0" borderId="8" xfId="0" applyFont="1" applyBorder="1"/>
    <xf numFmtId="0" fontId="0" fillId="0" borderId="11" xfId="0" applyBorder="1" applyAlignment="1">
      <alignment wrapText="1"/>
    </xf>
    <xf numFmtId="0" fontId="0" fillId="0" borderId="9" xfId="0" applyBorder="1" applyAlignment="1">
      <alignment wrapText="1"/>
    </xf>
    <xf numFmtId="0" fontId="0" fillId="0" borderId="12" xfId="0" applyBorder="1" applyAlignment="1">
      <alignment vertical="center" wrapText="1"/>
    </xf>
    <xf numFmtId="0" fontId="4" fillId="0" borderId="5" xfId="0" applyFont="1" applyBorder="1"/>
    <xf numFmtId="0" fontId="0" fillId="0" borderId="5" xfId="0" applyBorder="1" applyAlignment="1">
      <alignment wrapText="1"/>
    </xf>
    <xf numFmtId="0" fontId="0" fillId="0" borderId="8" xfId="0" applyBorder="1" applyAlignment="1">
      <alignment wrapText="1"/>
    </xf>
    <xf numFmtId="0" fontId="0" fillId="0" borderId="5" xfId="0" applyBorder="1" applyAlignment="1">
      <alignment vertical="top" wrapText="1"/>
    </xf>
    <xf numFmtId="0" fontId="3" fillId="2" borderId="0" xfId="0" applyFont="1" applyFill="1"/>
    <xf numFmtId="0" fontId="21" fillId="0" borderId="0" xfId="0" applyFont="1"/>
    <xf numFmtId="0" fontId="20" fillId="0" borderId="6" xfId="0" applyFont="1" applyBorder="1" applyAlignment="1">
      <alignment wrapText="1"/>
    </xf>
    <xf numFmtId="0" fontId="20" fillId="0" borderId="11" xfId="0" applyFont="1" applyBorder="1" applyAlignment="1">
      <alignment wrapText="1"/>
    </xf>
    <xf numFmtId="0" fontId="21" fillId="0" borderId="11" xfId="0" applyFont="1" applyBorder="1" applyAlignment="1">
      <alignment wrapText="1"/>
    </xf>
    <xf numFmtId="0" fontId="20" fillId="0" borderId="9" xfId="0" applyFont="1" applyBorder="1" applyAlignment="1">
      <alignment wrapText="1"/>
    </xf>
    <xf numFmtId="0" fontId="23" fillId="0" borderId="5" xfId="0" applyFont="1" applyBorder="1"/>
    <xf numFmtId="0" fontId="23" fillId="0" borderId="0" xfId="0" applyFont="1"/>
    <xf numFmtId="0" fontId="24" fillId="0" borderId="0" xfId="0" applyFont="1"/>
    <xf numFmtId="0" fontId="23" fillId="0" borderId="8" xfId="0" applyFont="1" applyBorder="1"/>
    <xf numFmtId="0" fontId="21" fillId="0" borderId="11" xfId="0" applyFont="1" applyBorder="1" applyAlignment="1">
      <alignment vertical="top" wrapText="1"/>
    </xf>
    <xf numFmtId="0" fontId="24" fillId="0" borderId="8" xfId="0" applyFont="1" applyBorder="1"/>
    <xf numFmtId="0" fontId="21" fillId="0" borderId="9" xfId="0" applyFont="1" applyBorder="1" applyAlignment="1">
      <alignment wrapText="1"/>
    </xf>
    <xf numFmtId="0" fontId="22" fillId="0" borderId="9" xfId="0" applyFont="1" applyBorder="1"/>
    <xf numFmtId="0" fontId="20" fillId="0" borderId="6" xfId="0" applyFont="1" applyBorder="1" applyAlignment="1">
      <alignment vertical="top" wrapText="1"/>
    </xf>
    <xf numFmtId="0" fontId="21" fillId="0" borderId="8" xfId="0" applyFont="1" applyBorder="1"/>
    <xf numFmtId="0" fontId="21" fillId="0" borderId="9" xfId="0" applyFont="1" applyBorder="1" applyAlignment="1">
      <alignment vertical="top" wrapText="1"/>
    </xf>
    <xf numFmtId="0" fontId="13" fillId="0" borderId="5" xfId="0" applyFont="1" applyBorder="1" applyAlignment="1">
      <alignment wrapText="1"/>
    </xf>
    <xf numFmtId="0" fontId="13" fillId="0" borderId="8" xfId="0" applyFont="1" applyBorder="1" applyAlignment="1">
      <alignment wrapText="1"/>
    </xf>
    <xf numFmtId="0" fontId="6" fillId="0" borderId="5" xfId="0" applyFont="1" applyBorder="1" applyAlignment="1">
      <alignment vertical="center"/>
    </xf>
    <xf numFmtId="0" fontId="6" fillId="0" borderId="0" xfId="0" applyFont="1" applyAlignment="1">
      <alignment vertical="center"/>
    </xf>
    <xf numFmtId="0" fontId="6" fillId="0" borderId="8" xfId="0" applyFont="1" applyBorder="1" applyAlignment="1">
      <alignment vertical="center"/>
    </xf>
    <xf numFmtId="0" fontId="4" fillId="0" borderId="0" xfId="0" applyFont="1" applyAlignment="1">
      <alignment vertical="center"/>
    </xf>
    <xf numFmtId="0" fontId="18" fillId="0" borderId="0" xfId="0" applyFont="1" applyAlignment="1">
      <alignment vertical="center"/>
    </xf>
    <xf numFmtId="0" fontId="4" fillId="0" borderId="8" xfId="0" applyFont="1" applyBorder="1" applyAlignment="1">
      <alignment vertical="center"/>
    </xf>
    <xf numFmtId="0" fontId="0" fillId="0" borderId="6" xfId="0" applyBorder="1" applyAlignment="1">
      <alignment wrapText="1"/>
    </xf>
    <xf numFmtId="0" fontId="3" fillId="0" borderId="5" xfId="0" applyFont="1" applyBorder="1" applyAlignment="1">
      <alignment vertical="top" wrapText="1"/>
    </xf>
    <xf numFmtId="0" fontId="3" fillId="0" borderId="0" xfId="0" applyFont="1" applyAlignment="1">
      <alignment vertical="top" wrapText="1"/>
    </xf>
    <xf numFmtId="0" fontId="3" fillId="0" borderId="8" xfId="0" applyFont="1" applyBorder="1" applyAlignment="1">
      <alignment vertical="top" wrapText="1"/>
    </xf>
    <xf numFmtId="0" fontId="12" fillId="0" borderId="5" xfId="0" applyFont="1" applyBorder="1" applyAlignment="1">
      <alignment wrapText="1"/>
    </xf>
    <xf numFmtId="0" fontId="12" fillId="0" borderId="0" xfId="0" applyFont="1" applyAlignment="1">
      <alignment wrapText="1"/>
    </xf>
    <xf numFmtId="0" fontId="12" fillId="0" borderId="8" xfId="0" applyFont="1" applyBorder="1" applyAlignment="1">
      <alignment wrapText="1"/>
    </xf>
    <xf numFmtId="0" fontId="13" fillId="0" borderId="0" xfId="0" applyFont="1" applyAlignment="1">
      <alignment vertical="top" wrapText="1"/>
    </xf>
    <xf numFmtId="0" fontId="25" fillId="4" borderId="7" xfId="0" quotePrefix="1" applyFont="1" applyFill="1" applyBorder="1" applyAlignment="1">
      <alignment wrapText="1"/>
    </xf>
    <xf numFmtId="0" fontId="13" fillId="4" borderId="8" xfId="0" applyFont="1" applyFill="1" applyBorder="1" applyAlignment="1">
      <alignment vertical="top" wrapText="1"/>
    </xf>
    <xf numFmtId="0" fontId="12" fillId="4" borderId="8" xfId="0" applyFont="1" applyFill="1" applyBorder="1"/>
    <xf numFmtId="0" fontId="18" fillId="4" borderId="8" xfId="0" applyFont="1" applyFill="1" applyBorder="1"/>
    <xf numFmtId="0" fontId="12" fillId="4" borderId="9" xfId="0" applyFont="1" applyFill="1" applyBorder="1" applyAlignment="1">
      <alignment wrapText="1"/>
    </xf>
    <xf numFmtId="0" fontId="12" fillId="4" borderId="0" xfId="0" applyFont="1" applyFill="1"/>
    <xf numFmtId="0" fontId="25" fillId="4" borderId="10" xfId="0" quotePrefix="1" applyFont="1" applyFill="1" applyBorder="1" applyAlignment="1">
      <alignment wrapText="1"/>
    </xf>
    <xf numFmtId="0" fontId="13" fillId="4" borderId="0" xfId="0" applyFont="1" applyFill="1" applyAlignment="1">
      <alignment vertical="top" wrapText="1"/>
    </xf>
    <xf numFmtId="0" fontId="12" fillId="4" borderId="0" xfId="0" applyFont="1" applyFill="1" applyAlignment="1">
      <alignment wrapText="1"/>
    </xf>
    <xf numFmtId="0" fontId="18" fillId="4" borderId="0" xfId="0" applyFont="1" applyFill="1"/>
    <xf numFmtId="0" fontId="12" fillId="4" borderId="11" xfId="0" applyFont="1" applyFill="1" applyBorder="1" applyAlignment="1">
      <alignment wrapText="1"/>
    </xf>
    <xf numFmtId="0" fontId="25" fillId="4" borderId="10" xfId="0" quotePrefix="1" applyFont="1" applyFill="1" applyBorder="1"/>
    <xf numFmtId="0" fontId="13" fillId="4" borderId="0" xfId="0" applyFont="1" applyFill="1" applyAlignment="1">
      <alignment vertical="top"/>
    </xf>
    <xf numFmtId="0" fontId="25" fillId="4" borderId="4" xfId="0" quotePrefix="1" applyFont="1" applyFill="1" applyBorder="1" applyAlignment="1">
      <alignment wrapText="1"/>
    </xf>
    <xf numFmtId="0" fontId="13" fillId="4" borderId="5" xfId="0" applyFont="1" applyFill="1" applyBorder="1" applyAlignment="1">
      <alignment wrapText="1"/>
    </xf>
    <xf numFmtId="0" fontId="12" fillId="4" borderId="5" xfId="0" applyFont="1" applyFill="1" applyBorder="1"/>
    <xf numFmtId="0" fontId="12" fillId="4" borderId="6" xfId="0" applyFont="1" applyFill="1" applyBorder="1"/>
    <xf numFmtId="0" fontId="18" fillId="4" borderId="5" xfId="0" applyFont="1" applyFill="1" applyBorder="1"/>
    <xf numFmtId="0" fontId="13" fillId="4" borderId="0" xfId="0" applyFont="1" applyFill="1" applyAlignment="1">
      <alignment wrapText="1"/>
    </xf>
    <xf numFmtId="49" fontId="12" fillId="4" borderId="11" xfId="0" applyNumberFormat="1" applyFont="1" applyFill="1" applyBorder="1" applyAlignment="1">
      <alignment wrapText="1"/>
    </xf>
    <xf numFmtId="0" fontId="18" fillId="4" borderId="4" xfId="0" quotePrefix="1" applyFont="1" applyFill="1" applyBorder="1" applyAlignment="1">
      <alignment wrapText="1"/>
    </xf>
    <xf numFmtId="0" fontId="13" fillId="4" borderId="5" xfId="0" applyFont="1" applyFill="1" applyBorder="1" applyAlignment="1">
      <alignment vertical="top" wrapText="1"/>
    </xf>
    <xf numFmtId="0" fontId="18" fillId="4" borderId="5" xfId="0" applyFont="1" applyFill="1" applyBorder="1" applyAlignment="1">
      <alignment vertical="center"/>
    </xf>
    <xf numFmtId="0" fontId="12" fillId="4" borderId="5" xfId="0" applyFont="1" applyFill="1" applyBorder="1" applyAlignment="1">
      <alignment wrapText="1"/>
    </xf>
    <xf numFmtId="0" fontId="24" fillId="4" borderId="5" xfId="0" applyFont="1" applyFill="1" applyBorder="1"/>
    <xf numFmtId="0" fontId="21" fillId="4" borderId="6" xfId="0" applyFont="1" applyFill="1" applyBorder="1" applyAlignment="1">
      <alignment wrapText="1"/>
    </xf>
    <xf numFmtId="0" fontId="18" fillId="4" borderId="10" xfId="0" quotePrefix="1" applyFont="1" applyFill="1" applyBorder="1" applyAlignment="1">
      <alignment wrapText="1"/>
    </xf>
    <xf numFmtId="0" fontId="18" fillId="4" borderId="0" xfId="0" applyFont="1" applyFill="1" applyAlignment="1">
      <alignment vertical="center"/>
    </xf>
    <xf numFmtId="0" fontId="24" fillId="4" borderId="0" xfId="0" applyFont="1" applyFill="1"/>
    <xf numFmtId="0" fontId="21" fillId="4" borderId="11" xfId="0" applyFont="1" applyFill="1" applyBorder="1" applyAlignment="1">
      <alignment wrapText="1"/>
    </xf>
    <xf numFmtId="0" fontId="16" fillId="4" borderId="4" xfId="0" quotePrefix="1" applyFont="1" applyFill="1" applyBorder="1" applyAlignment="1">
      <alignment wrapText="1"/>
    </xf>
    <xf numFmtId="0" fontId="16" fillId="4" borderId="10" xfId="0" quotePrefix="1" applyFont="1" applyFill="1" applyBorder="1" applyAlignment="1">
      <alignment wrapText="1"/>
    </xf>
    <xf numFmtId="0" fontId="21" fillId="4" borderId="11" xfId="0" applyFont="1" applyFill="1" applyBorder="1" applyAlignment="1">
      <alignment vertical="top" wrapText="1"/>
    </xf>
    <xf numFmtId="0" fontId="21" fillId="4" borderId="0" xfId="0" applyFont="1" applyFill="1"/>
    <xf numFmtId="0" fontId="21" fillId="4" borderId="5" xfId="0" applyFont="1" applyFill="1" applyBorder="1"/>
    <xf numFmtId="0" fontId="21" fillId="4" borderId="6" xfId="0" applyFont="1" applyFill="1" applyBorder="1"/>
    <xf numFmtId="0" fontId="21" fillId="4" borderId="11" xfId="0" applyFont="1" applyFill="1" applyBorder="1"/>
    <xf numFmtId="0" fontId="0" fillId="0" borderId="13" xfId="0" applyBorder="1" applyAlignment="1">
      <alignment vertical="center" wrapText="1"/>
    </xf>
    <xf numFmtId="0" fontId="16" fillId="0" borderId="7" xfId="0" quotePrefix="1" applyFont="1" applyBorder="1"/>
    <xf numFmtId="0" fontId="13" fillId="0" borderId="8" xfId="0" applyFont="1" applyBorder="1" applyAlignment="1">
      <alignment vertical="top"/>
    </xf>
    <xf numFmtId="0" fontId="25" fillId="4" borderId="0" xfId="0" applyFont="1" applyFill="1" applyAlignment="1">
      <alignment vertical="center"/>
    </xf>
    <xf numFmtId="0" fontId="18" fillId="4" borderId="10" xfId="0" quotePrefix="1" applyFont="1" applyFill="1" applyBorder="1"/>
    <xf numFmtId="0" fontId="12" fillId="4" borderId="11" xfId="0" applyFont="1" applyFill="1" applyBorder="1"/>
    <xf numFmtId="0" fontId="16" fillId="4" borderId="10" xfId="0" quotePrefix="1" applyFont="1" applyFill="1" applyBorder="1"/>
    <xf numFmtId="0" fontId="16" fillId="4" borderId="7" xfId="0" quotePrefix="1" applyFont="1" applyFill="1" applyBorder="1"/>
    <xf numFmtId="0" fontId="13" fillId="4" borderId="8" xfId="0" applyFont="1" applyFill="1" applyBorder="1" applyAlignment="1">
      <alignment vertical="top"/>
    </xf>
    <xf numFmtId="0" fontId="16" fillId="4" borderId="0" xfId="0" quotePrefix="1" applyFont="1" applyFill="1"/>
    <xf numFmtId="0" fontId="12" fillId="4" borderId="6" xfId="0" applyFont="1" applyFill="1" applyBorder="1" applyAlignment="1">
      <alignment wrapText="1"/>
    </xf>
    <xf numFmtId="0" fontId="19" fillId="0" borderId="0" xfId="1"/>
    <xf numFmtId="0" fontId="2" fillId="0" borderId="0" xfId="0" applyFont="1" applyAlignment="1">
      <alignment vertical="top"/>
    </xf>
    <xf numFmtId="0" fontId="0" fillId="0" borderId="0" xfId="0" applyAlignment="1">
      <alignment vertical="top" wrapText="1"/>
    </xf>
    <xf numFmtId="49" fontId="0" fillId="0" borderId="0" xfId="0" applyNumberFormat="1" applyAlignment="1">
      <alignment vertical="top" wrapText="1"/>
    </xf>
    <xf numFmtId="0" fontId="2" fillId="0" borderId="0" xfId="0" quotePrefix="1" applyFont="1" applyAlignment="1">
      <alignment vertical="top"/>
    </xf>
    <xf numFmtId="2" fontId="0" fillId="0" borderId="0" xfId="0" applyNumberFormat="1" applyAlignment="1">
      <alignment vertical="top" wrapText="1"/>
    </xf>
    <xf numFmtId="49" fontId="3" fillId="0" borderId="5" xfId="0" applyNumberFormat="1" applyFont="1" applyBorder="1" applyAlignment="1">
      <alignment wrapText="1"/>
    </xf>
    <xf numFmtId="49" fontId="13" fillId="4" borderId="0" xfId="0" applyNumberFormat="1" applyFont="1" applyFill="1" applyAlignment="1">
      <alignment wrapText="1"/>
    </xf>
    <xf numFmtId="49" fontId="3" fillId="0" borderId="0" xfId="0" applyNumberFormat="1" applyFont="1" applyAlignment="1">
      <alignment wrapText="1"/>
    </xf>
    <xf numFmtId="49" fontId="3" fillId="0" borderId="8" xfId="0" applyNumberFormat="1" applyFont="1" applyBorder="1" applyAlignment="1">
      <alignment wrapText="1"/>
    </xf>
    <xf numFmtId="49" fontId="0" fillId="0" borderId="5" xfId="0" applyNumberFormat="1" applyBorder="1" applyAlignment="1">
      <alignment wrapText="1"/>
    </xf>
    <xf numFmtId="49" fontId="12" fillId="4" borderId="0" xfId="0" applyNumberFormat="1" applyFont="1" applyFill="1" applyAlignment="1">
      <alignment wrapText="1"/>
    </xf>
    <xf numFmtId="49" fontId="0" fillId="0" borderId="0" xfId="0" applyNumberFormat="1" applyAlignment="1">
      <alignment wrapText="1"/>
    </xf>
    <xf numFmtId="49" fontId="0" fillId="0" borderId="8" xfId="0" applyNumberFormat="1" applyBorder="1" applyAlignment="1">
      <alignment wrapText="1"/>
    </xf>
    <xf numFmtId="49" fontId="0" fillId="0" borderId="5" xfId="0" applyNumberFormat="1" applyBorder="1"/>
    <xf numFmtId="49" fontId="12" fillId="4" borderId="0" xfId="0" applyNumberFormat="1" applyFont="1" applyFill="1"/>
    <xf numFmtId="49" fontId="0" fillId="0" borderId="0" xfId="0" applyNumberFormat="1"/>
    <xf numFmtId="49" fontId="0" fillId="0" borderId="8" xfId="0" applyNumberFormat="1" applyBorder="1"/>
    <xf numFmtId="49" fontId="18" fillId="0" borderId="5" xfId="0" applyNumberFormat="1" applyFont="1" applyBorder="1"/>
    <xf numFmtId="49" fontId="18" fillId="4" borderId="0" xfId="0" applyNumberFormat="1" applyFont="1" applyFill="1"/>
    <xf numFmtId="49" fontId="18" fillId="0" borderId="0" xfId="0" applyNumberFormat="1" applyFont="1"/>
    <xf numFmtId="49" fontId="18" fillId="0" borderId="8" xfId="0" applyNumberFormat="1" applyFont="1" applyBorder="1"/>
    <xf numFmtId="49" fontId="12" fillId="0" borderId="6" xfId="0" applyNumberFormat="1" applyFont="1" applyBorder="1" applyAlignment="1">
      <alignment wrapText="1"/>
    </xf>
    <xf numFmtId="0" fontId="0" fillId="0" borderId="0" xfId="0" applyAlignment="1" applyProtection="1">
      <alignment wrapText="1"/>
      <protection locked="0"/>
    </xf>
    <xf numFmtId="0" fontId="0" fillId="0" borderId="0" xfId="0" applyProtection="1">
      <protection locked="0"/>
    </xf>
    <xf numFmtId="0" fontId="2" fillId="0" borderId="0" xfId="0" applyFont="1" applyAlignment="1">
      <alignment wrapText="1"/>
    </xf>
    <xf numFmtId="0" fontId="0" fillId="0" borderId="0" xfId="0" applyAlignment="1">
      <alignment vertical="center"/>
    </xf>
    <xf numFmtId="0" fontId="19" fillId="0" borderId="0" xfId="1" applyAlignment="1">
      <alignment wrapText="1"/>
    </xf>
    <xf numFmtId="0" fontId="19" fillId="0" borderId="0" xfId="1" applyNumberFormat="1" applyAlignment="1">
      <alignment wrapText="1"/>
    </xf>
    <xf numFmtId="0" fontId="2" fillId="0" borderId="0" xfId="0" applyFont="1" applyAlignment="1">
      <alignment vertical="center" wrapText="1"/>
    </xf>
    <xf numFmtId="0" fontId="3" fillId="0" borderId="15"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2" fillId="0" borderId="0" xfId="0" applyFont="1"/>
    <xf numFmtId="49" fontId="12" fillId="0" borderId="0" xfId="1" quotePrefix="1" applyNumberFormat="1" applyFont="1" applyAlignment="1">
      <alignment vertical="top" wrapText="1"/>
    </xf>
    <xf numFmtId="0" fontId="4" fillId="0" borderId="15" xfId="0" applyFont="1" applyBorder="1" applyAlignment="1">
      <alignment horizontal="center" vertical="center"/>
    </xf>
    <xf numFmtId="0" fontId="4" fillId="0" borderId="17" xfId="0" applyFont="1" applyBorder="1" applyAlignment="1">
      <alignment horizontal="center" vertical="center"/>
    </xf>
    <xf numFmtId="0" fontId="4" fillId="0" borderId="16" xfId="0" applyFont="1" applyBorder="1" applyAlignment="1">
      <alignment horizontal="center" vertical="center"/>
    </xf>
    <xf numFmtId="0" fontId="19" fillId="0" borderId="0" xfId="1" applyAlignment="1" applyProtection="1">
      <alignment wrapText="1"/>
      <protection locked="0"/>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2" fillId="0" borderId="0" xfId="0" applyFont="1" applyAlignment="1" applyProtection="1">
      <alignment wrapText="1"/>
      <protection locked="0"/>
    </xf>
    <xf numFmtId="0" fontId="26" fillId="0" borderId="0" xfId="1" applyFont="1" applyAlignment="1" applyProtection="1">
      <alignment wrapText="1"/>
      <protection locked="0"/>
    </xf>
    <xf numFmtId="0" fontId="0" fillId="2" borderId="0" xfId="0" applyFill="1" applyAlignment="1">
      <alignment wrapText="1"/>
    </xf>
    <xf numFmtId="49" fontId="0" fillId="2" borderId="0" xfId="0" applyNumberFormat="1" applyFill="1" applyAlignment="1">
      <alignment wrapText="1"/>
    </xf>
    <xf numFmtId="0" fontId="2" fillId="0" borderId="0" xfId="0" applyFont="1" applyAlignment="1">
      <alignment horizontal="center" vertical="center"/>
    </xf>
    <xf numFmtId="0" fontId="2" fillId="2" borderId="0" xfId="0" applyFont="1" applyFill="1" applyAlignment="1">
      <alignment horizontal="center" vertical="center"/>
    </xf>
    <xf numFmtId="0" fontId="27" fillId="2" borderId="0" xfId="0" applyFont="1" applyFill="1" applyAlignment="1">
      <alignment horizontal="left" vertical="center" wrapText="1"/>
    </xf>
    <xf numFmtId="0" fontId="2" fillId="0" borderId="18" xfId="0" applyFont="1" applyBorder="1"/>
    <xf numFmtId="0" fontId="0" fillId="0" borderId="18" xfId="0" applyBorder="1" applyAlignment="1">
      <alignment vertical="top" wrapText="1"/>
    </xf>
    <xf numFmtId="0" fontId="27" fillId="0" borderId="18" xfId="0" applyFont="1" applyBorder="1" applyAlignment="1">
      <alignment horizontal="center" vertical="center" wrapText="1"/>
    </xf>
    <xf numFmtId="0" fontId="0" fillId="0" borderId="18" xfId="0" applyBorder="1" applyAlignment="1">
      <alignment wrapText="1"/>
    </xf>
    <xf numFmtId="0" fontId="0" fillId="0" borderId="18" xfId="0" applyBorder="1"/>
    <xf numFmtId="0" fontId="6" fillId="5" borderId="10" xfId="0" quotePrefix="1" applyFont="1" applyFill="1" applyBorder="1" applyAlignment="1">
      <alignment wrapText="1"/>
    </xf>
    <xf numFmtId="0" fontId="3" fillId="5" borderId="0" xfId="0" applyFont="1" applyFill="1" applyAlignment="1">
      <alignment vertical="top" wrapText="1"/>
    </xf>
    <xf numFmtId="0" fontId="4" fillId="5" borderId="0" xfId="0" applyFont="1" applyFill="1"/>
    <xf numFmtId="0" fontId="0" fillId="5" borderId="0" xfId="0" applyFill="1"/>
    <xf numFmtId="0" fontId="0" fillId="5" borderId="0" xfId="0" applyFill="1" applyAlignment="1">
      <alignment wrapText="1"/>
    </xf>
    <xf numFmtId="0" fontId="0" fillId="5" borderId="11" xfId="0" applyFill="1" applyBorder="1" applyAlignment="1">
      <alignment wrapText="1"/>
    </xf>
    <xf numFmtId="0" fontId="6" fillId="5" borderId="4" xfId="0" quotePrefix="1" applyFont="1" applyFill="1" applyBorder="1" applyAlignment="1">
      <alignment wrapText="1"/>
    </xf>
    <xf numFmtId="0" fontId="3" fillId="5" borderId="5" xfId="0" applyFont="1" applyFill="1" applyBorder="1" applyAlignment="1">
      <alignment wrapText="1"/>
    </xf>
    <xf numFmtId="0" fontId="4" fillId="5" borderId="5" xfId="0" applyFont="1" applyFill="1" applyBorder="1"/>
    <xf numFmtId="0" fontId="0" fillId="5" borderId="5" xfId="0" applyFill="1" applyBorder="1"/>
    <xf numFmtId="0" fontId="0" fillId="5" borderId="6" xfId="0" applyFill="1" applyBorder="1" applyAlignment="1">
      <alignment wrapText="1"/>
    </xf>
    <xf numFmtId="0" fontId="28" fillId="2" borderId="0" xfId="0" applyFont="1" applyFill="1"/>
    <xf numFmtId="0" fontId="28" fillId="0" borderId="0" xfId="0" applyFont="1"/>
    <xf numFmtId="0" fontId="0" fillId="2" borderId="0" xfId="0" applyFill="1" applyAlignment="1">
      <alignment vertical="top" wrapText="1"/>
    </xf>
    <xf numFmtId="0" fontId="0" fillId="2" borderId="11" xfId="0" applyFill="1" applyBorder="1"/>
    <xf numFmtId="0" fontId="2" fillId="0" borderId="19" xfId="0" applyFont="1" applyBorder="1"/>
    <xf numFmtId="0" fontId="2" fillId="0" borderId="20" xfId="0" applyFont="1" applyBorder="1"/>
    <xf numFmtId="0" fontId="0" fillId="0" borderId="19" xfId="0" applyBorder="1" applyAlignment="1">
      <alignment vertical="top" wrapText="1"/>
    </xf>
    <xf numFmtId="0" fontId="0" fillId="0" borderId="20" xfId="0" applyBorder="1" applyAlignment="1">
      <alignment vertical="top" wrapText="1"/>
    </xf>
    <xf numFmtId="0" fontId="27" fillId="0" borderId="19" xfId="0" applyFont="1" applyBorder="1" applyAlignment="1">
      <alignment horizontal="center" vertical="center" wrapText="1"/>
    </xf>
    <xf numFmtId="0" fontId="27" fillId="0" borderId="20" xfId="0" applyFont="1" applyBorder="1" applyAlignment="1">
      <alignment horizontal="center" vertical="center" wrapText="1"/>
    </xf>
    <xf numFmtId="0" fontId="0" fillId="0" borderId="19" xfId="0" applyBorder="1" applyAlignment="1">
      <alignment wrapText="1"/>
    </xf>
    <xf numFmtId="0" fontId="0" fillId="0" borderId="20" xfId="0" applyBorder="1" applyAlignment="1">
      <alignment wrapText="1"/>
    </xf>
    <xf numFmtId="0" fontId="0" fillId="0" borderId="19" xfId="0" applyBorder="1"/>
    <xf numFmtId="0" fontId="0" fillId="0" borderId="20" xfId="0" applyBorder="1"/>
    <xf numFmtId="0" fontId="0" fillId="0" borderId="18" xfId="0" applyBorder="1" applyProtection="1">
      <protection locked="0"/>
    </xf>
    <xf numFmtId="0" fontId="0" fillId="0" borderId="19" xfId="0" applyBorder="1" applyProtection="1">
      <protection locked="0"/>
    </xf>
    <xf numFmtId="0" fontId="0" fillId="0" borderId="20" xfId="0" applyBorder="1" applyProtection="1">
      <protection locked="0"/>
    </xf>
    <xf numFmtId="0" fontId="7" fillId="2" borderId="0" xfId="0" applyFont="1" applyFill="1" applyAlignment="1">
      <alignment horizontal="left" vertical="center"/>
    </xf>
    <xf numFmtId="0" fontId="0" fillId="2" borderId="0" xfId="0" applyFill="1"/>
    <xf numFmtId="0" fontId="7" fillId="0" borderId="2" xfId="0" applyFont="1" applyBorder="1"/>
    <xf numFmtId="0" fontId="4" fillId="2" borderId="0" xfId="0" applyFont="1" applyFill="1"/>
    <xf numFmtId="0" fontId="8" fillId="2" borderId="0" xfId="0" applyFont="1" applyFill="1"/>
    <xf numFmtId="0" fontId="30" fillId="0" borderId="0" xfId="0" applyFont="1"/>
    <xf numFmtId="0" fontId="19" fillId="0" borderId="18" xfId="1" applyBorder="1" applyAlignment="1">
      <alignment wrapText="1"/>
    </xf>
    <xf numFmtId="49" fontId="19" fillId="0" borderId="18" xfId="1" applyNumberFormat="1" applyBorder="1" applyAlignment="1" applyProtection="1">
      <alignment vertical="top" wrapText="1"/>
      <protection locked="0"/>
    </xf>
    <xf numFmtId="0" fontId="7" fillId="2" borderId="0" xfId="0" applyFont="1" applyFill="1" applyAlignment="1">
      <alignment horizontal="left" vertical="center"/>
    </xf>
    <xf numFmtId="0" fontId="3" fillId="2" borderId="0" xfId="0" applyFont="1" applyFill="1" applyAlignment="1">
      <alignment horizontal="left" vertical="center" wrapText="1"/>
    </xf>
    <xf numFmtId="0" fontId="0" fillId="2" borderId="0" xfId="0" applyFill="1"/>
    <xf numFmtId="0" fontId="8" fillId="3" borderId="4" xfId="0" applyFont="1" applyFill="1" applyBorder="1" applyAlignment="1">
      <alignment horizontal="center"/>
    </xf>
    <xf numFmtId="0" fontId="8" fillId="3" borderId="5" xfId="0" applyFont="1" applyFill="1" applyBorder="1" applyAlignment="1">
      <alignment horizontal="center"/>
    </xf>
    <xf numFmtId="0" fontId="8" fillId="3" borderId="6" xfId="0" applyFont="1" applyFill="1" applyBorder="1" applyAlignment="1">
      <alignment horizontal="center"/>
    </xf>
    <xf numFmtId="0" fontId="8" fillId="0" borderId="1" xfId="0" applyFont="1" applyBorder="1" applyAlignment="1">
      <alignment horizontal="center"/>
    </xf>
    <xf numFmtId="0" fontId="8" fillId="0" borderId="2" xfId="0" applyFont="1" applyBorder="1" applyAlignment="1">
      <alignment horizontal="center"/>
    </xf>
    <xf numFmtId="0" fontId="8" fillId="0" borderId="3" xfId="0" applyFont="1" applyBorder="1" applyAlignment="1">
      <alignment horizontal="center"/>
    </xf>
    <xf numFmtId="0" fontId="0" fillId="2" borderId="8" xfId="0" applyFill="1" applyBorder="1"/>
    <xf numFmtId="0" fontId="7" fillId="0" borderId="1" xfId="0" applyFont="1" applyBorder="1"/>
    <xf numFmtId="0" fontId="7" fillId="0" borderId="2" xfId="0" applyFont="1" applyBorder="1"/>
    <xf numFmtId="0" fontId="7" fillId="0" borderId="3" xfId="0" applyFont="1" applyBorder="1"/>
    <xf numFmtId="0" fontId="0" fillId="2" borderId="2" xfId="0" applyFill="1" applyBorder="1"/>
    <xf numFmtId="0" fontId="0" fillId="2" borderId="0" xfId="0" applyFill="1" applyAlignment="1">
      <alignment horizontal="center"/>
    </xf>
    <xf numFmtId="0" fontId="7" fillId="0" borderId="1" xfId="0" applyFont="1" applyBorder="1" applyAlignment="1">
      <alignment horizontal="center"/>
    </xf>
    <xf numFmtId="0" fontId="10" fillId="0" borderId="2" xfId="0" applyFont="1" applyBorder="1" applyAlignment="1">
      <alignment horizontal="center"/>
    </xf>
    <xf numFmtId="0" fontId="10" fillId="0" borderId="3" xfId="0" applyFont="1" applyBorder="1" applyAlignment="1">
      <alignment horizontal="center"/>
    </xf>
    <xf numFmtId="0" fontId="9" fillId="2" borderId="0" xfId="0" applyFont="1" applyFill="1"/>
    <xf numFmtId="0" fontId="4" fillId="2" borderId="0" xfId="0" applyFont="1" applyFill="1"/>
    <xf numFmtId="0" fontId="9" fillId="2" borderId="0" xfId="0" applyFont="1" applyFill="1" applyAlignment="1">
      <alignment horizontal="center"/>
    </xf>
    <xf numFmtId="0" fontId="8" fillId="2" borderId="0" xfId="0" applyFont="1" applyFill="1" applyAlignment="1">
      <alignment horizontal="center"/>
    </xf>
    <xf numFmtId="0" fontId="8" fillId="0" borderId="4" xfId="0" applyFont="1" applyBorder="1" applyAlignment="1">
      <alignment horizontal="center"/>
    </xf>
    <xf numFmtId="0" fontId="8" fillId="0" borderId="5" xfId="0" applyFont="1" applyBorder="1" applyAlignment="1">
      <alignment horizontal="center"/>
    </xf>
    <xf numFmtId="0" fontId="8" fillId="0" borderId="6" xfId="0" applyFont="1" applyBorder="1" applyAlignment="1">
      <alignment horizontal="center"/>
    </xf>
    <xf numFmtId="0" fontId="11" fillId="2" borderId="0" xfId="0" applyFont="1" applyFill="1" applyAlignment="1">
      <alignment horizontal="center"/>
    </xf>
    <xf numFmtId="0" fontId="8" fillId="2" borderId="10" xfId="0" applyFont="1" applyFill="1" applyBorder="1" applyAlignment="1">
      <alignment horizontal="center"/>
    </xf>
    <xf numFmtId="0" fontId="8" fillId="2" borderId="0" xfId="0" applyFont="1" applyFill="1"/>
    <xf numFmtId="0" fontId="7" fillId="0" borderId="2" xfId="0" applyFont="1" applyBorder="1" applyAlignment="1">
      <alignment horizontal="center"/>
    </xf>
    <xf numFmtId="0" fontId="7" fillId="0" borderId="3" xfId="0" applyFont="1" applyBorder="1" applyAlignment="1">
      <alignment horizontal="center"/>
    </xf>
  </cellXfs>
  <cellStyles count="2">
    <cellStyle name="Hyperlink" xfId="1" builtinId="8"/>
    <cellStyle name="Normal" xfId="0" builtinId="0"/>
  </cellStyles>
  <dxfs count="457">
    <dxf>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protection locked="0" hidden="0"/>
    </dxf>
    <dxf>
      <numFmt numFmtId="0" formatCode="General"/>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border diagonalUp="0" diagonalDown="0">
        <left style="thin">
          <color indexed="64"/>
        </left>
        <right style="thin">
          <color indexed="64"/>
        </right>
        <top style="thin">
          <color indexed="64"/>
        </top>
        <bottom style="thin">
          <color indexed="64"/>
        </bottom>
        <vertical/>
        <horizontal/>
      </border>
    </dxf>
    <dxf>
      <fill>
        <patternFill>
          <bgColor theme="2" tint="-0.24994659260841701"/>
        </patternFill>
      </fill>
    </dxf>
    <dxf>
      <fill>
        <patternFill>
          <bgColor theme="2" tint="-0.24994659260841701"/>
        </patternFill>
      </fill>
    </dxf>
    <dxf>
      <font>
        <color rgb="FF9C0006"/>
      </font>
      <fill>
        <patternFill>
          <bgColor rgb="FFFFC7CE"/>
        </patternFill>
      </fill>
    </dxf>
    <dxf>
      <font>
        <strike val="0"/>
        <outline val="0"/>
        <shadow val="0"/>
        <u val="none"/>
        <vertAlign val="baseline"/>
        <sz val="14"/>
        <color theme="1"/>
        <name val="Calibri"/>
        <family val="2"/>
        <scheme val="minor"/>
      </font>
      <numFmt numFmtId="0" formatCode="General"/>
      <alignment horizontal="center" vertical="center" textRotation="0" wrapText="0" indent="0" justifyLastLine="0" shrinkToFit="0" readingOrder="0"/>
      <border diagonalUp="0" diagonalDown="0">
        <left style="medium">
          <color indexed="64"/>
        </left>
        <right style="medium">
          <color indexed="64"/>
        </right>
        <top/>
        <bottom/>
      </border>
    </dxf>
    <dxf>
      <border outline="0">
        <right style="medium">
          <color indexed="64"/>
        </right>
      </border>
    </dxf>
    <dxf>
      <alignment horizontal="general" vertical="top"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strike val="0"/>
        <outline val="0"/>
        <shadow val="0"/>
        <u val="none"/>
        <vertAlign val="baseline"/>
        <sz val="12"/>
        <color theme="1"/>
        <name val="Calibri"/>
        <family val="2"/>
        <scheme val="minor"/>
      </font>
      <numFmt numFmtId="0" formatCode="General"/>
      <alignment horizontal="center" vertical="center" textRotation="0" wrapText="1" indent="0" justifyLastLine="0" shrinkToFit="0" readingOrder="0"/>
      <border diagonalUp="0" diagonalDown="0">
        <left style="medium">
          <color indexed="64"/>
        </left>
        <right style="medium">
          <color indexed="64"/>
        </right>
        <top/>
        <bottom/>
      </border>
    </dxf>
    <dxf>
      <alignment horizontal="general" vertical="bottom" textRotation="0" wrapText="1" indent="0" justifyLastLine="0" shrinkToFit="0" readingOrder="0"/>
      <border outline="0">
        <right style="medium">
          <color indexed="64"/>
        </right>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center" textRotation="0" wrapText="1" indent="0" justifyLastLine="0" shrinkToFit="0" readingOrder="0"/>
    </dxf>
    <dxf>
      <font>
        <b/>
      </font>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font>
        <strike val="0"/>
        <outline val="0"/>
        <shadow val="0"/>
        <u val="none"/>
        <vertAlign val="baseline"/>
        <sz val="12"/>
        <color theme="1"/>
        <name val="Calibri"/>
        <family val="2"/>
        <scheme val="minor"/>
      </font>
      <numFmt numFmtId="0" formatCode="General"/>
      <alignment horizontal="center" vertical="center" textRotation="0" wrapText="1" indent="0" justifyLastLine="0" shrinkToFit="0" readingOrder="0"/>
      <border diagonalUp="0" diagonalDown="0">
        <left style="medium">
          <color indexed="64"/>
        </left>
        <right style="medium">
          <color indexed="64"/>
        </right>
        <top/>
        <bottom/>
      </border>
    </dxf>
    <dxf>
      <alignment horizontal="general" vertical="top" textRotation="0" wrapText="1" indent="0" justifyLastLine="0" shrinkToFit="0" readingOrder="0"/>
      <border outline="0">
        <right style="medium">
          <color indexed="64"/>
        </right>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center" textRotation="0" wrapText="1" indent="0" justifyLastLine="0" shrinkToFit="0" readingOrder="0"/>
    </dxf>
    <dxf>
      <font>
        <b/>
      </font>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font>
        <strike val="0"/>
        <outline val="0"/>
        <shadow val="0"/>
        <u val="none"/>
        <vertAlign val="baseline"/>
        <sz val="12"/>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indexed="64"/>
        </left>
        <right style="medium">
          <color indexed="64"/>
        </right>
        <top/>
        <bottom/>
      </border>
    </dxf>
    <dxf>
      <alignment horizontal="general" vertical="bottom" textRotation="0" wrapText="1" indent="0" justifyLastLine="0" shrinkToFit="0" readingOrder="0"/>
      <border outline="0">
        <right style="medium">
          <color indexed="64"/>
        </right>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center" textRotation="0" wrapText="1" indent="0" justifyLastLine="0" shrinkToFit="0" readingOrder="0"/>
    </dxf>
    <dxf>
      <font>
        <b/>
      </font>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font>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border diagonalUp="0" diagonalDown="0">
        <left style="medium">
          <color indexed="64"/>
        </left>
        <right style="medium">
          <color indexed="64"/>
        </right>
        <top/>
        <bottom/>
      </border>
    </dxf>
    <dxf>
      <alignment horizontal="general" vertical="bottom" textRotation="0" wrapText="1" indent="0" justifyLastLine="0" shrinkToFit="0" readingOrder="0"/>
      <border outline="0">
        <right style="medium">
          <color indexed="64"/>
        </right>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center" textRotation="0" wrapText="1" indent="0" justifyLastLine="0" shrinkToFit="0" readingOrder="0"/>
    </dxf>
    <dxf>
      <font>
        <b/>
      </font>
      <numFmt numFmtId="0" formatCode="General"/>
    </dxf>
    <dxf>
      <font>
        <strike val="0"/>
        <outline val="0"/>
        <shadow val="0"/>
        <u val="none"/>
        <vertAlign val="baseline"/>
        <sz val="14"/>
        <color theme="1"/>
        <name val="Calibri"/>
        <family val="2"/>
        <scheme val="minor"/>
      </font>
      <numFmt numFmtId="0" formatCode="General"/>
      <alignment horizontal="center" vertical="center" textRotation="0" wrapText="1" indent="0" justifyLastLine="0" shrinkToFit="0" readingOrder="0"/>
      <border diagonalUp="0" diagonalDown="0">
        <left style="medium">
          <color indexed="64"/>
        </left>
        <right style="medium">
          <color indexed="64"/>
        </right>
        <top/>
        <bottom/>
      </border>
    </dxf>
    <dxf>
      <alignment horizontal="general" vertical="bottom" textRotation="0" wrapText="1" indent="0" justifyLastLine="0" shrinkToFit="0" readingOrder="0"/>
      <border outline="0">
        <right style="medium">
          <color indexed="64"/>
        </right>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b/>
      </font>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strike val="0"/>
        <outline val="0"/>
        <shadow val="0"/>
        <u val="none"/>
        <vertAlign val="baseline"/>
        <sz val="14"/>
        <color theme="1"/>
        <name val="Calibri"/>
        <family val="2"/>
        <scheme val="minor"/>
      </font>
      <numFmt numFmtId="0" formatCode="General"/>
      <alignment horizontal="center" vertical="center" textRotation="0" wrapText="1" indent="0" justifyLastLine="0" shrinkToFit="0" readingOrder="0"/>
      <border diagonalUp="0" diagonalDown="0">
        <left style="medium">
          <color indexed="64"/>
        </left>
        <right style="medium">
          <color indexed="64"/>
        </right>
        <top/>
        <bottom/>
        <vertical/>
        <horizontal/>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font>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b/>
      </font>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strike val="0"/>
        <outline val="0"/>
        <shadow val="0"/>
        <u val="none"/>
        <vertAlign val="baseline"/>
        <sz val="14"/>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indexed="64"/>
        </left>
        <right style="medium">
          <color indexed="64"/>
        </right>
        <top/>
        <bottom/>
      </border>
    </dxf>
    <dxf>
      <alignment horizontal="general" vertical="bottom" textRotation="0" wrapText="1" indent="0" justifyLastLine="0" shrinkToFit="0" readingOrder="0"/>
      <border outline="0">
        <right style="medium">
          <color indexed="64"/>
        </right>
      </border>
    </dxf>
    <dxf>
      <alignment horizontal="general" vertical="bottom" textRotation="0" wrapText="1" indent="0" justifyLastLine="0" shrinkToFit="0" readingOrder="0"/>
    </dxf>
    <dxf>
      <alignment horizontal="general" vertical="bottom" textRotation="0" wrapText="1" indent="0" justifyLastLine="0" shrinkToFit="0" readingOrder="0"/>
    </dxf>
    <dxf>
      <font>
        <b/>
      </font>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b/>
      </font>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strike val="0"/>
        <outline val="0"/>
        <shadow val="0"/>
        <u val="none"/>
        <vertAlign val="baseline"/>
        <sz val="14"/>
        <color theme="1"/>
        <name val="Calibri"/>
        <family val="2"/>
        <scheme val="minor"/>
      </font>
      <numFmt numFmtId="0" formatCode="General"/>
      <alignment horizontal="center" vertical="center" textRotation="0" wrapText="1" indent="0" justifyLastLine="0" shrinkToFit="0" readingOrder="0"/>
      <border diagonalUp="0" diagonalDown="0">
        <left style="medium">
          <color indexed="64"/>
        </left>
        <right style="medium">
          <color indexed="64"/>
        </right>
        <top/>
        <bottom/>
        <vertical/>
        <horizontal/>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font>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b/>
      </font>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strike val="0"/>
        <outline val="0"/>
        <shadow val="0"/>
        <u val="none"/>
        <vertAlign val="baseline"/>
        <sz val="14"/>
        <color theme="1"/>
        <name val="Calibri"/>
        <family val="2"/>
        <scheme val="minor"/>
      </font>
      <numFmt numFmtId="0" formatCode="General"/>
      <alignment horizontal="center" vertical="center" textRotation="0" wrapText="1" indent="0" justifyLastLine="0" shrinkToFit="0" readingOrder="0"/>
      <border diagonalUp="0" diagonalDown="0">
        <left style="medium">
          <color indexed="64"/>
        </left>
        <right style="medium">
          <color indexed="64"/>
        </right>
        <top/>
        <bottom/>
        <vertical/>
        <horizontal/>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font>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strike val="0"/>
        <outline val="0"/>
        <shadow val="0"/>
        <u val="none"/>
        <vertAlign val="baseline"/>
        <sz val="14"/>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indexed="64"/>
        </left>
        <right style="medium">
          <color indexed="64"/>
        </right>
        <top/>
        <bottom/>
      </border>
    </dxf>
    <dxf>
      <border outline="0">
        <right style="medium">
          <color indexed="64"/>
        </right>
      </border>
      <protection locked="0" hidden="0"/>
    </dxf>
    <dxf>
      <alignment horizontal="general" vertical="bottom" textRotation="0" wrapText="1" indent="0" justifyLastLine="0" shrinkToFit="0" readingOrder="0"/>
      <protection locked="0" hidden="0"/>
    </dxf>
    <dxf>
      <protection locked="0" hidden="0"/>
    </dxf>
    <dxf>
      <font>
        <b/>
      </font>
      <alignment horizontal="general" vertical="bottom" textRotation="0" wrapText="1" indent="0" justifyLastLine="0" shrinkToFit="0" readingOrder="0"/>
      <protection locked="0" hidden="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font>
    </dxf>
    <dxf>
      <font>
        <strike val="0"/>
        <outline val="0"/>
        <shadow val="0"/>
        <u val="none"/>
        <vertAlign val="baseline"/>
        <sz val="14"/>
        <color theme="1"/>
        <name val="Calibri"/>
        <family val="2"/>
        <scheme val="minor"/>
      </font>
      <numFmt numFmtId="0" formatCode="General"/>
      <alignment horizontal="center" vertical="center" textRotation="0" wrapText="0" indent="0" justifyLastLine="0" shrinkToFit="0" readingOrder="0"/>
      <border diagonalUp="0" diagonalDown="0" outline="0">
        <left style="medium">
          <color indexed="64"/>
        </left>
        <right style="medium">
          <color indexed="64"/>
        </right>
        <top/>
        <bottom/>
      </border>
    </dxf>
    <dxf>
      <border outline="0">
        <right style="medium">
          <color indexed="64"/>
        </right>
      </border>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font>
        <strike val="0"/>
        <outline val="0"/>
        <shadow val="0"/>
        <u val="none"/>
        <vertAlign val="baseline"/>
        <sz val="14"/>
        <color theme="1"/>
        <name val="Calibri"/>
        <family val="2"/>
        <scheme val="minor"/>
      </font>
      <numFmt numFmtId="0" formatCode="General"/>
      <alignment horizontal="center" vertical="center" textRotation="0" wrapText="0" indent="0" justifyLastLine="0" shrinkToFit="0" readingOrder="0"/>
      <border diagonalUp="0" diagonalDown="0" outline="0">
        <left style="medium">
          <color indexed="64"/>
        </left>
        <right style="medium">
          <color indexed="64"/>
        </right>
        <top/>
        <bottom/>
      </border>
    </dxf>
    <dxf>
      <border outline="0">
        <right style="medium">
          <color indexed="64"/>
        </right>
      </border>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font>
        <strike val="0"/>
        <outline val="0"/>
        <shadow val="0"/>
        <u val="none"/>
        <vertAlign val="baseline"/>
        <sz val="14"/>
        <color theme="1"/>
        <name val="Calibri"/>
        <family val="2"/>
        <scheme val="minor"/>
      </font>
      <numFmt numFmtId="0" formatCode="General"/>
      <alignment horizontal="center" vertical="center" textRotation="0" wrapText="0" indent="0" justifyLastLine="0" shrinkToFit="0" readingOrder="0"/>
      <border diagonalUp="0" diagonalDown="0" outline="0">
        <left style="medium">
          <color indexed="64"/>
        </left>
        <right style="medium">
          <color indexed="64"/>
        </right>
        <top/>
        <bottom/>
      </border>
    </dxf>
    <dxf>
      <border outline="0">
        <right style="medium">
          <color indexed="64"/>
        </right>
      </border>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font>
        <strike val="0"/>
        <outline val="0"/>
        <shadow val="0"/>
        <u val="none"/>
        <vertAlign val="baseline"/>
        <sz val="14"/>
        <color theme="1"/>
        <name val="Calibri"/>
        <family val="2"/>
        <scheme val="minor"/>
      </font>
      <numFmt numFmtId="0" formatCode="General"/>
      <alignment horizontal="center" vertical="center" textRotation="0" wrapText="0" indent="0" justifyLastLine="0" shrinkToFit="0" readingOrder="0"/>
      <border diagonalUp="0" diagonalDown="0" outline="0">
        <left style="medium">
          <color indexed="64"/>
        </left>
        <right style="medium">
          <color indexed="64"/>
        </right>
        <top/>
        <bottom/>
      </border>
    </dxf>
    <dxf>
      <border outline="0">
        <right style="medium">
          <color indexed="64"/>
        </right>
      </border>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font>
        <strike val="0"/>
        <outline val="0"/>
        <shadow val="0"/>
        <u val="none"/>
        <vertAlign val="baseline"/>
        <sz val="14"/>
        <color theme="1"/>
        <name val="Calibri"/>
        <family val="2"/>
        <scheme val="minor"/>
      </font>
      <numFmt numFmtId="0" formatCode="General"/>
      <alignment horizontal="center" vertical="center" textRotation="0" wrapText="0" indent="0" justifyLastLine="0" shrinkToFit="0" readingOrder="0"/>
      <border diagonalUp="0" diagonalDown="0" outline="0">
        <left style="medium">
          <color indexed="64"/>
        </left>
        <right style="medium">
          <color indexed="64"/>
        </right>
        <top/>
        <bottom/>
      </border>
    </dxf>
    <dxf>
      <border outline="0">
        <right style="medium">
          <color indexed="64"/>
        </right>
      </border>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font>
        <strike val="0"/>
        <outline val="0"/>
        <shadow val="0"/>
        <u val="none"/>
        <vertAlign val="baseline"/>
        <sz val="14"/>
        <color theme="1"/>
        <name val="Calibri"/>
        <family val="2"/>
        <scheme val="minor"/>
      </font>
      <numFmt numFmtId="0" formatCode="General"/>
      <alignment horizontal="center" vertical="center" textRotation="0" wrapText="0" indent="0" justifyLastLine="0" shrinkToFit="0" readingOrder="0"/>
      <border diagonalUp="0" diagonalDown="0">
        <left style="medium">
          <color indexed="64"/>
        </left>
        <right style="medium">
          <color indexed="64"/>
        </right>
        <top/>
        <bottom/>
      </border>
    </dxf>
    <dxf>
      <border outline="0">
        <right style="medium">
          <color indexed="64"/>
        </right>
      </border>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0" formatCode="General"/>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font>
      <alignment horizontal="general" vertical="top" textRotation="0" indent="0" justifyLastLine="0" shrinkToFit="0" readingOrder="0"/>
    </dxf>
    <dxf>
      <alignment horizontal="general" vertical="top" textRotation="0" indent="0" justifyLastLine="0" shrinkToFit="0" readingOrder="0"/>
    </dxf>
    <dxf>
      <font>
        <strike val="0"/>
        <outline val="0"/>
        <shadow val="0"/>
        <u val="none"/>
        <vertAlign val="baseline"/>
        <name val="Calibri"/>
        <family val="2"/>
        <scheme val="minor"/>
      </font>
      <alignment horizontal="general" vertical="bottom" textRotation="0" wrapText="1" indent="0" justifyLastLine="0" shrinkToFit="0" readingOrder="0"/>
      <border diagonalUp="0" diagonalDown="0" outline="0">
        <left/>
        <right style="medium">
          <color indexed="64"/>
        </right>
        <top/>
        <bottom/>
      </border>
    </dxf>
    <dxf>
      <font>
        <strike val="0"/>
        <outline val="0"/>
        <shadow val="0"/>
        <u val="none"/>
        <vertAlign val="baseline"/>
        <sz val="14"/>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alignment horizontal="general" vertical="bottom" textRotation="0" wrapText="1" indent="0" justifyLastLine="0" shrinkToFit="0" readingOrder="0"/>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sz val="12"/>
        <color theme="1"/>
        <name val="Calibri"/>
        <family val="2"/>
        <scheme val="minor"/>
      </font>
      <alignment horizontal="general" vertical="top" textRotation="0" wrapText="1" indent="0" justifyLastLine="0" shrinkToFit="0" readingOrder="0"/>
    </dxf>
    <dxf>
      <font>
        <b/>
        <strike val="0"/>
        <outline val="0"/>
        <shadow val="0"/>
        <u val="none"/>
        <vertAlign val="baseline"/>
        <sz val="14"/>
        <name val="Calibri"/>
        <family val="2"/>
        <scheme val="minor"/>
      </font>
      <border diagonalUp="0" diagonalDown="0" outline="0">
        <left style="medium">
          <color indexed="64"/>
        </left>
        <right/>
        <top/>
        <bottom/>
      </border>
    </dxf>
    <dxf>
      <font>
        <strike val="0"/>
        <outline val="0"/>
        <shadow val="0"/>
        <u val="none"/>
        <vertAlign val="baseline"/>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name val="Calibri"/>
        <family val="2"/>
        <scheme val="minor"/>
      </font>
    </dxf>
    <dxf>
      <font>
        <strike val="0"/>
        <outline val="0"/>
        <shadow val="0"/>
        <u val="none"/>
        <vertAlign val="baseline"/>
        <sz val="14"/>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alignment horizontal="general" vertical="bottom" textRotation="0" wrapText="1" indent="0" justifyLastLine="0" shrinkToFit="0" readingOrder="0"/>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sz val="12"/>
        <color theme="1"/>
        <name val="Calibri"/>
        <family val="2"/>
        <scheme val="minor"/>
      </font>
      <alignment horizontal="general" vertical="top" textRotation="0" wrapText="1" indent="0" justifyLastLine="0" shrinkToFit="0" readingOrder="0"/>
    </dxf>
    <dxf>
      <font>
        <b/>
        <strike val="0"/>
        <outline val="0"/>
        <shadow val="0"/>
        <u val="none"/>
        <vertAlign val="baseline"/>
        <sz val="14"/>
        <name val="Calibri"/>
        <family val="2"/>
        <scheme val="minor"/>
      </font>
    </dxf>
    <dxf>
      <font>
        <strike val="0"/>
        <outline val="0"/>
        <shadow val="0"/>
        <u val="none"/>
        <vertAlign val="baseline"/>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name val="Calibri"/>
        <family val="2"/>
        <scheme val="minor"/>
      </font>
      <border diagonalUp="0" diagonalDown="0">
        <left/>
        <right style="medium">
          <color indexed="64"/>
        </right>
        <top/>
        <bottom/>
        <vertical/>
        <horizontal/>
      </border>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border diagonalUp="0" diagonalDown="0">
        <left style="medium">
          <color indexed="64"/>
        </left>
        <right/>
        <top/>
        <bottom/>
        <vertical/>
        <horizontal/>
      </border>
    </dxf>
    <dxf>
      <font>
        <strike val="0"/>
        <outline val="0"/>
        <shadow val="0"/>
        <u val="none"/>
        <vertAlign val="baseline"/>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name val="Calibri"/>
        <family val="2"/>
        <scheme val="minor"/>
      </font>
      <alignment horizontal="general" vertical="bottom" textRotation="0" wrapText="1" indent="0" justifyLastLine="0" shrinkToFit="0" readingOrder="0"/>
      <border diagonalUp="0" diagonalDown="0" outline="0">
        <left/>
        <right style="medium">
          <color indexed="64"/>
        </right>
        <top/>
        <bottom/>
      </border>
    </dxf>
    <dxf>
      <font>
        <strike val="0"/>
        <outline val="0"/>
        <shadow val="0"/>
        <u val="none"/>
        <vertAlign val="baseline"/>
        <sz val="14"/>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sz val="12"/>
        <color theme="1"/>
        <name val="Calibri"/>
        <family val="2"/>
        <scheme val="minor"/>
      </font>
      <alignment horizontal="general" vertical="top" textRotation="0" indent="0" justifyLastLine="0" shrinkToFit="0" readingOrder="0"/>
    </dxf>
    <dxf>
      <font>
        <b/>
        <strike val="0"/>
        <outline val="0"/>
        <shadow val="0"/>
        <u val="none"/>
        <vertAlign val="baseline"/>
        <sz val="14"/>
        <name val="Calibri"/>
        <family val="2"/>
        <scheme val="minor"/>
      </font>
      <border diagonalUp="0" diagonalDown="0" outline="0">
        <left style="medium">
          <color indexed="64"/>
        </left>
        <right/>
        <top/>
        <bottom/>
      </border>
    </dxf>
    <dxf>
      <font>
        <strike val="0"/>
        <outline val="0"/>
        <shadow val="0"/>
        <u val="none"/>
        <vertAlign val="baseline"/>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name val="Calibri"/>
        <family val="2"/>
        <scheme val="minor"/>
      </font>
      <border diagonalUp="0" diagonalDown="0" outline="0">
        <left/>
        <right style="medium">
          <color indexed="64"/>
        </right>
        <top/>
        <bottom/>
      </border>
    </dxf>
    <dxf>
      <font>
        <strike val="0"/>
        <outline val="0"/>
        <shadow val="0"/>
        <u val="none"/>
        <vertAlign val="baseline"/>
        <sz val="14"/>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sz val="12"/>
        <color theme="1"/>
        <name val="Calibri"/>
        <family val="2"/>
        <scheme val="minor"/>
      </font>
      <alignment horizontal="general" vertical="top" textRotation="0" indent="0" justifyLastLine="0" shrinkToFit="0" readingOrder="0"/>
    </dxf>
    <dxf>
      <font>
        <b/>
        <strike val="0"/>
        <outline val="0"/>
        <shadow val="0"/>
        <u val="none"/>
        <vertAlign val="baseline"/>
        <sz val="14"/>
        <name val="Calibri"/>
        <family val="2"/>
        <scheme val="minor"/>
      </font>
      <border diagonalUp="0" diagonalDown="0" outline="0">
        <left style="medium">
          <color indexed="64"/>
        </left>
        <right/>
        <top/>
        <bottom/>
      </border>
    </dxf>
    <dxf>
      <font>
        <strike val="0"/>
        <outline val="0"/>
        <shadow val="0"/>
        <u val="none"/>
        <vertAlign val="baseline"/>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name val="Calibri"/>
        <family val="2"/>
        <scheme val="minor"/>
      </font>
      <border diagonalUp="0" diagonalDown="0">
        <left/>
        <right style="medium">
          <color indexed="64"/>
        </right>
        <top/>
        <bottom/>
        <vertical/>
        <horizontal/>
      </border>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border diagonalUp="0" diagonalDown="0">
        <left style="medium">
          <color indexed="64"/>
        </left>
        <right/>
        <top/>
        <bottom/>
        <vertical/>
        <horizontal/>
      </border>
    </dxf>
    <dxf>
      <font>
        <strike val="0"/>
        <outline val="0"/>
        <shadow val="0"/>
        <u val="none"/>
        <vertAlign val="baseline"/>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name val="Calibri"/>
        <family val="2"/>
        <scheme val="minor"/>
      </font>
      <border diagonalUp="0" diagonalDown="0" outline="0">
        <left/>
        <right style="medium">
          <color indexed="64"/>
        </right>
        <top/>
        <bottom/>
      </border>
    </dxf>
    <dxf>
      <font>
        <strike val="0"/>
        <outline val="0"/>
        <shadow val="0"/>
        <u val="none"/>
        <vertAlign val="baseline"/>
        <sz val="14"/>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sz val="12"/>
        <color theme="1"/>
        <name val="Calibri"/>
        <family val="2"/>
        <scheme val="minor"/>
      </font>
      <alignment horizontal="general" vertical="top" textRotation="0" wrapText="1" indent="0" justifyLastLine="0" shrinkToFit="0" readingOrder="0"/>
    </dxf>
    <dxf>
      <font>
        <b/>
        <strike val="0"/>
        <outline val="0"/>
        <shadow val="0"/>
        <u val="none"/>
        <vertAlign val="baseline"/>
        <sz val="14"/>
        <name val="Calibri"/>
        <family val="2"/>
        <scheme val="minor"/>
      </font>
      <border diagonalUp="0" diagonalDown="0" outline="0">
        <left style="medium">
          <color indexed="64"/>
        </left>
        <right/>
        <top/>
        <bottom/>
      </border>
    </dxf>
    <dxf>
      <font>
        <strike val="0"/>
        <outline val="0"/>
        <shadow val="0"/>
        <u val="none"/>
        <vertAlign val="baseline"/>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name val="Calibri"/>
        <family val="2"/>
        <scheme val="minor"/>
      </font>
      <border diagonalUp="0" diagonalDown="0">
        <left/>
        <right style="medium">
          <color indexed="64"/>
        </right>
        <top/>
        <bottom/>
        <vertical/>
        <horizontal/>
      </border>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border diagonalUp="0" diagonalDown="0">
        <left style="medium">
          <color indexed="64"/>
        </left>
        <right/>
        <top/>
        <bottom/>
        <vertical/>
        <horizontal/>
      </border>
    </dxf>
    <dxf>
      <font>
        <strike val="0"/>
        <outline val="0"/>
        <shadow val="0"/>
        <u val="none"/>
        <vertAlign val="baseline"/>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name val="Calibri"/>
        <family val="2"/>
        <scheme val="minor"/>
      </font>
      <alignment horizontal="general" vertical="bottom" textRotation="0" wrapText="1" indent="0" justifyLastLine="0" shrinkToFit="0" readingOrder="0"/>
      <border diagonalUp="0" diagonalDown="0" outline="0">
        <left/>
        <right style="medium">
          <color indexed="64"/>
        </right>
        <top/>
        <bottom/>
      </border>
    </dxf>
    <dxf>
      <font>
        <strike val="0"/>
        <outline val="0"/>
        <shadow val="0"/>
        <u val="none"/>
        <vertAlign val="baseline"/>
        <sz val="14"/>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sz val="16"/>
        <color theme="1"/>
        <name val="Calibri"/>
        <family val="2"/>
        <scheme val="minor"/>
      </font>
      <alignment horizontal="general" vertical="center" textRotation="0" wrapText="0" indent="0" justifyLastLine="0" shrinkToFit="0" readingOrder="0"/>
    </dxf>
    <dxf>
      <font>
        <strike val="0"/>
        <outline val="0"/>
        <shadow val="0"/>
        <u val="none"/>
        <vertAlign val="baseline"/>
        <sz val="12"/>
        <name val="Calibri"/>
        <family val="2"/>
        <scheme val="minor"/>
      </font>
      <alignment horizontal="general" vertical="top" textRotation="0" indent="0" justifyLastLine="0" shrinkToFit="0" readingOrder="0"/>
    </dxf>
    <dxf>
      <font>
        <strike val="0"/>
        <outline val="0"/>
        <shadow val="0"/>
        <u val="none"/>
        <vertAlign val="baseline"/>
        <sz val="14"/>
        <name val="Calibri"/>
        <family val="2"/>
        <scheme val="minor"/>
      </font>
      <border diagonalUp="0" diagonalDown="0" outline="0">
        <left style="medium">
          <color indexed="64"/>
        </left>
        <right/>
        <top/>
        <bottom/>
      </border>
    </dxf>
    <dxf>
      <font>
        <strike val="0"/>
        <outline val="0"/>
        <shadow val="0"/>
        <u val="none"/>
        <vertAlign val="baseline"/>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name val="Calibri"/>
        <family val="2"/>
        <scheme val="minor"/>
      </font>
      <border diagonalUp="0" diagonalDown="0">
        <left/>
        <right style="medium">
          <color indexed="64"/>
        </right>
        <top/>
        <bottom/>
        <vertical/>
        <horizontal/>
      </border>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border diagonalUp="0" diagonalDown="0">
        <left style="medium">
          <color indexed="64"/>
        </left>
        <right/>
        <top/>
        <bottom/>
        <vertical/>
        <horizontal/>
      </border>
    </dxf>
    <dxf>
      <font>
        <strike val="0"/>
        <outline val="0"/>
        <shadow val="0"/>
        <u val="none"/>
        <vertAlign val="baseline"/>
        <name val="Calibri"/>
        <family val="2"/>
        <scheme val="minor"/>
      </font>
    </dxf>
    <dxf>
      <font>
        <strike val="0"/>
        <outline val="0"/>
        <shadow val="0"/>
        <u val="none"/>
        <vertAlign val="baseline"/>
        <sz val="14"/>
        <color theme="1"/>
        <name val="Calibri"/>
        <family val="2"/>
        <scheme val="minor"/>
      </font>
    </dxf>
    <dxf>
      <border diagonalUp="0" diagonalDown="0">
        <left/>
        <right style="medium">
          <color indexed="64"/>
        </right>
        <top/>
        <bottom/>
        <vertical/>
        <horizontal/>
      </border>
    </dxf>
    <dxf>
      <font>
        <strike val="0"/>
        <outline val="0"/>
        <shadow val="0"/>
        <u val="none"/>
        <vertAlign val="baseline"/>
        <sz val="12"/>
        <color theme="1"/>
        <name val="Calibri"/>
        <family val="2"/>
        <scheme val="minor"/>
      </font>
    </dxf>
    <dxf>
      <font>
        <strike val="0"/>
        <outline val="0"/>
        <shadow val="0"/>
        <u val="none"/>
        <vertAlign val="baseline"/>
        <sz val="16"/>
        <color theme="1"/>
        <name val="Calibri"/>
        <family val="2"/>
        <scheme val="minor"/>
      </font>
      <border diagonalUp="0" diagonalDown="0">
        <left style="medium">
          <color indexed="64"/>
        </left>
        <right/>
        <top/>
        <bottom/>
        <vertical/>
        <horizontal/>
      </border>
    </dxf>
    <dxf>
      <border diagonalUp="0" diagonalDown="0" outline="0">
        <left/>
        <right style="medium">
          <color indexed="64"/>
        </right>
        <top/>
        <bottom/>
      </border>
    </dxf>
    <dxf>
      <font>
        <strike val="0"/>
        <outline val="0"/>
        <shadow val="0"/>
        <u val="none"/>
        <vertAlign val="baseline"/>
        <sz val="14"/>
        <name val="Calibri"/>
        <family val="2"/>
        <scheme val="minor"/>
      </font>
    </dxf>
    <dxf>
      <alignment horizontal="general" vertical="bottom" textRotation="0" wrapText="1" indent="0" justifyLastLine="0" shrinkToFit="0" readingOrder="0"/>
    </dxf>
    <dxf>
      <font>
        <strike val="0"/>
        <outline val="0"/>
        <shadow val="0"/>
        <u val="none"/>
        <vertAlign val="baseline"/>
        <sz val="12"/>
        <color theme="1"/>
        <name val="Calibri"/>
        <family val="2"/>
        <scheme val="minor"/>
      </font>
      <alignment horizontal="general" vertical="top" textRotation="0" indent="0" justifyLastLine="0" shrinkToFit="0" readingOrder="0"/>
    </dxf>
    <dxf>
      <font>
        <strike val="0"/>
        <outline val="0"/>
        <shadow val="0"/>
        <u val="none"/>
        <vertAlign val="baseline"/>
        <sz val="16"/>
        <color theme="1"/>
        <name val="Calibri"/>
        <family val="2"/>
        <scheme val="minor"/>
      </font>
      <border diagonalUp="0" diagonalDown="0" outline="0">
        <left style="medium">
          <color indexed="64"/>
        </left>
        <right/>
        <top/>
        <bottom/>
      </border>
    </dxf>
    <dxf>
      <font>
        <b val="0"/>
        <i val="0"/>
        <strike val="0"/>
        <condense val="0"/>
        <extend val="0"/>
        <outline val="0"/>
        <shadow val="0"/>
        <u val="none"/>
        <vertAlign val="baseline"/>
        <sz val="11"/>
        <color auto="1"/>
        <name val="Calibri"/>
        <family val="2"/>
        <scheme val="minor"/>
      </font>
      <border diagonalUp="0" diagonalDown="0" outline="0">
        <left/>
        <right style="medium">
          <color indexed="64"/>
        </right>
        <top/>
        <bottom/>
      </border>
    </dxf>
    <dxf>
      <font>
        <b val="0"/>
        <i val="0"/>
        <strike val="0"/>
        <condense val="0"/>
        <extend val="0"/>
        <outline val="0"/>
        <shadow val="0"/>
        <u val="none"/>
        <vertAlign val="baseline"/>
        <sz val="14"/>
        <color auto="1"/>
        <name val="Calibri"/>
        <family val="2"/>
        <scheme val="minor"/>
      </font>
    </dxf>
    <dxf>
      <font>
        <b val="0"/>
        <i val="0"/>
        <strike val="0"/>
        <condense val="0"/>
        <extend val="0"/>
        <outline val="0"/>
        <shadow val="0"/>
        <u val="none"/>
        <vertAlign val="baseline"/>
        <sz val="11"/>
        <color theme="0" tint="-0.499984740745262"/>
        <name val="Calibri"/>
        <family val="2"/>
        <scheme val="minor"/>
      </font>
    </dxf>
    <dxf>
      <alignment horizontal="general" vertical="bottom" textRotation="0" wrapText="1" indent="0" justifyLastLine="0" shrinkToFit="0" readingOrder="0"/>
    </dxf>
    <dxf>
      <font>
        <strike val="0"/>
        <outline val="0"/>
        <shadow val="0"/>
        <u val="none"/>
        <vertAlign val="baseline"/>
        <sz val="12"/>
        <color theme="1"/>
        <name val="Calibri"/>
        <family val="2"/>
        <scheme val="minor"/>
      </font>
      <alignment horizontal="general" vertical="top" textRotation="0" indent="0" justifyLastLine="0" shrinkToFit="0" readingOrder="0"/>
    </dxf>
    <dxf>
      <font>
        <strike val="0"/>
        <outline val="0"/>
        <shadow val="0"/>
        <u val="none"/>
        <vertAlign val="baseline"/>
        <sz val="16"/>
        <color theme="1"/>
        <name val="Calibri"/>
        <family val="2"/>
        <scheme val="minor"/>
      </font>
      <border diagonalUp="0" diagonalDown="0" outline="0">
        <left style="medium">
          <color indexed="64"/>
        </left>
        <right/>
        <top/>
        <bottom/>
      </border>
    </dxf>
    <dxf>
      <border diagonalUp="0" diagonalDown="0">
        <left/>
        <right style="medium">
          <color indexed="64"/>
        </right>
        <top/>
        <bottom/>
        <vertical/>
        <horizontal/>
      </border>
    </dxf>
    <dxf>
      <border diagonalUp="0" diagonalDown="0">
        <left style="medium">
          <color indexed="64"/>
        </left>
        <right/>
        <top/>
        <bottom/>
        <vertical/>
        <horizontal/>
      </border>
    </dxf>
    <dxf>
      <alignment horizontal="general" vertical="bottom" textRotation="0" wrapText="1" indent="0" justifyLastLine="0" shrinkToFit="0" readingOrder="0"/>
      <border diagonalUp="0" diagonalDown="0" outline="0">
        <left/>
        <right style="medium">
          <color indexed="64"/>
        </right>
        <top/>
        <bottom/>
      </border>
    </dxf>
    <dxf>
      <font>
        <strike val="0"/>
        <outline val="0"/>
        <shadow val="0"/>
        <u val="none"/>
        <vertAlign val="baseline"/>
        <sz val="14"/>
        <name val="Calibri"/>
        <family val="2"/>
        <scheme val="minor"/>
      </font>
    </dxf>
    <dxf>
      <alignment horizontal="general" vertical="bottom" textRotation="0" wrapText="1" indent="0" justifyLastLine="0" shrinkToFit="0" readingOrder="0"/>
    </dxf>
    <dxf>
      <font>
        <strike val="0"/>
        <outline val="0"/>
        <shadow val="0"/>
        <u val="none"/>
        <vertAlign val="baseline"/>
        <sz val="14"/>
        <name val="Calibri"/>
        <family val="2"/>
        <scheme val="minor"/>
      </font>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outline="0">
        <left/>
        <right style="medium">
          <color indexed="64"/>
        </right>
        <top/>
        <bottom/>
      </border>
    </dxf>
    <dxf>
      <font>
        <strike val="0"/>
        <outline val="0"/>
        <shadow val="0"/>
        <u val="none"/>
        <vertAlign val="baseline"/>
        <sz val="14"/>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6"/>
        <color theme="1"/>
        <name val="Calibri"/>
        <family val="2"/>
        <scheme val="minor"/>
      </font>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font>
        <b val="0"/>
        <i val="0"/>
        <strike val="0"/>
        <condense val="0"/>
        <extend val="0"/>
        <outline val="0"/>
        <shadow val="0"/>
        <u val="none"/>
        <vertAlign val="baseline"/>
        <sz val="11"/>
        <color auto="1"/>
        <name val="Calibri"/>
        <family val="2"/>
        <scheme val="minor"/>
      </font>
      <numFmt numFmtId="30" formatCode="@"/>
      <alignment horizontal="general" vertical="bottom" textRotation="0" wrapText="1" indent="0" justifyLastLine="0" shrinkToFit="0" readingOrder="0"/>
      <border diagonalUp="0" diagonalDown="0" outline="0">
        <left/>
        <right style="medium">
          <color indexed="64"/>
        </right>
        <top/>
        <bottom/>
      </border>
    </dxf>
    <dxf>
      <font>
        <b val="0"/>
        <i val="0"/>
        <strike val="0"/>
        <condense val="0"/>
        <extend val="0"/>
        <outline val="0"/>
        <shadow val="0"/>
        <u val="none"/>
        <vertAlign val="baseline"/>
        <sz val="14"/>
        <color auto="1"/>
        <name val="Calibri"/>
        <family val="2"/>
        <scheme val="minor"/>
      </font>
      <numFmt numFmtId="30" formatCode="@"/>
    </dxf>
    <dxf>
      <font>
        <b val="0"/>
        <i val="0"/>
        <strike val="0"/>
        <condense val="0"/>
        <extend val="0"/>
        <outline val="0"/>
        <shadow val="0"/>
        <u val="none"/>
        <vertAlign val="baseline"/>
        <sz val="11"/>
        <color theme="0" tint="-0.499984740745262"/>
        <name val="Calibri"/>
        <family val="2"/>
        <scheme val="minor"/>
      </font>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font>
        <strike val="0"/>
        <outline val="0"/>
        <shadow val="0"/>
        <u val="none"/>
        <vertAlign val="baseline"/>
        <sz val="12"/>
        <color theme="1"/>
        <name val="Calibri"/>
        <family val="2"/>
        <scheme val="minor"/>
      </font>
      <numFmt numFmtId="30" formatCode="@"/>
    </dxf>
    <dxf>
      <font>
        <strike val="0"/>
        <outline val="0"/>
        <shadow val="0"/>
        <u val="none"/>
        <vertAlign val="baseline"/>
        <sz val="16"/>
        <color theme="1"/>
        <name val="Calibri"/>
        <family val="2"/>
        <scheme val="minor"/>
      </font>
      <border diagonalUp="0" diagonalDown="0" outline="0">
        <left style="medium">
          <color indexed="64"/>
        </left>
        <right/>
        <top/>
        <bottom/>
      </border>
    </dxf>
    <dxf>
      <border diagonalUp="0" diagonalDown="0">
        <left/>
        <right style="medium">
          <color indexed="64"/>
        </right>
        <top/>
        <bottom/>
        <vertical/>
        <horizontal/>
      </border>
    </dxf>
    <dxf>
      <border diagonalUp="0" diagonalDown="0">
        <left style="medium">
          <color indexed="64"/>
        </left>
        <right/>
        <top/>
        <bottom/>
        <vertical/>
        <horizontal/>
      </border>
    </dxf>
    <dxf>
      <font>
        <b val="0"/>
        <i val="0"/>
        <strike val="0"/>
        <condense val="0"/>
        <extend val="0"/>
        <outline val="0"/>
        <shadow val="0"/>
        <u val="none"/>
        <vertAlign val="baseline"/>
        <sz val="11"/>
        <color auto="1"/>
        <name val="Calibri"/>
        <family val="2"/>
        <scheme val="minor"/>
      </font>
      <numFmt numFmtId="30" formatCode="@"/>
      <alignment textRotation="0" wrapText="1" indent="0" justifyLastLine="0" shrinkToFit="0" readingOrder="0"/>
      <border diagonalUp="0" diagonalDown="0" outline="0">
        <left/>
        <right style="medium">
          <color indexed="64"/>
        </right>
        <top/>
        <bottom/>
      </border>
    </dxf>
    <dxf>
      <font>
        <b val="0"/>
        <i val="0"/>
        <strike val="0"/>
        <condense val="0"/>
        <extend val="0"/>
        <outline val="0"/>
        <shadow val="0"/>
        <u val="none"/>
        <vertAlign val="baseline"/>
        <sz val="14"/>
        <color auto="1"/>
        <name val="Calibri"/>
        <family val="2"/>
        <scheme val="minor"/>
      </font>
    </dxf>
    <dxf>
      <font>
        <b val="0"/>
        <i val="0"/>
        <strike val="0"/>
        <condense val="0"/>
        <extend val="0"/>
        <outline val="0"/>
        <shadow val="0"/>
        <u val="none"/>
        <vertAlign val="baseline"/>
        <sz val="11"/>
        <color theme="0" tint="-0.499984740745262"/>
        <name val="Calibri"/>
        <family val="2"/>
        <scheme val="minor"/>
      </font>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2"/>
        <color theme="1"/>
        <name val="Calibri"/>
        <family val="2"/>
        <scheme val="minor"/>
      </font>
    </dxf>
    <dxf>
      <font>
        <strike val="0"/>
        <outline val="0"/>
        <shadow val="0"/>
        <u val="none"/>
        <vertAlign val="baseline"/>
        <sz val="16"/>
        <color theme="1"/>
        <name val="Calibri"/>
        <family val="2"/>
        <scheme val="minor"/>
      </font>
      <border diagonalUp="0" diagonalDown="0">
        <left style="medium">
          <color indexed="64"/>
        </left>
        <right/>
        <top/>
        <bottom/>
        <vertical/>
        <horizontal/>
      </border>
    </dxf>
    <dxf>
      <font>
        <strike val="0"/>
        <outline val="0"/>
        <shadow val="0"/>
        <u val="none"/>
        <vertAlign val="baseline"/>
        <name val="Calibri"/>
        <family val="2"/>
        <scheme val="none"/>
      </font>
      <alignment horizontal="general" vertical="bottom" textRotation="0" wrapText="1" indent="0" justifyLastLine="0" shrinkToFit="0" readingOrder="0"/>
      <border diagonalUp="0" diagonalDown="0" outline="0">
        <left/>
        <right style="medium">
          <color indexed="64"/>
        </right>
        <top/>
        <bottom/>
      </border>
    </dxf>
    <dxf>
      <font>
        <strike val="0"/>
        <outline val="0"/>
        <shadow val="0"/>
        <u val="none"/>
        <vertAlign val="baseline"/>
        <sz val="14"/>
        <color theme="1"/>
        <name val="Calibri"/>
        <family val="2"/>
        <scheme val="none"/>
      </font>
    </dxf>
    <dxf>
      <font>
        <strike val="0"/>
        <outline val="0"/>
        <shadow val="0"/>
        <u val="none"/>
        <vertAlign val="baseline"/>
        <name val="Calibri"/>
        <family val="2"/>
        <scheme val="minor"/>
      </font>
    </dxf>
    <dxf>
      <font>
        <strike val="0"/>
        <outline val="0"/>
        <shadow val="0"/>
        <u val="none"/>
        <vertAlign val="baseline"/>
        <name val="Calibri"/>
        <family val="2"/>
        <scheme val="minor"/>
      </font>
      <alignment horizontal="general" vertical="bottom" textRotation="0" wrapText="1" indent="0" justifyLastLine="0" shrinkToFit="0" readingOrder="0"/>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sz val="12"/>
        <color theme="1"/>
        <name val="Calibri"/>
        <family val="2"/>
        <scheme val="minor"/>
      </font>
      <alignment horizontal="general" vertical="top" textRotation="0" wrapText="1" indent="0" justifyLastLine="0" shrinkToFit="0" readingOrder="0"/>
    </dxf>
    <dxf>
      <font>
        <b/>
        <strike val="0"/>
        <outline val="0"/>
        <shadow val="0"/>
        <u val="none"/>
        <vertAlign val="baseline"/>
        <sz val="14"/>
        <color theme="1"/>
        <name val="Calibri"/>
        <family val="2"/>
        <scheme val="minor"/>
      </font>
      <border diagonalUp="0" diagonalDown="0" outline="0">
        <left style="medium">
          <color indexed="64"/>
        </left>
        <right/>
        <top/>
        <bottom/>
      </border>
    </dxf>
    <dxf>
      <font>
        <strike val="0"/>
        <outline val="0"/>
        <shadow val="0"/>
        <u val="none"/>
        <vertAlign val="baseline"/>
        <name val="Calibri"/>
        <family val="2"/>
        <scheme val="none"/>
      </font>
    </dxf>
    <dxf>
      <font>
        <strike val="0"/>
        <outline val="0"/>
        <shadow val="0"/>
        <u val="none"/>
        <vertAlign val="baseline"/>
        <sz val="14"/>
        <color theme="1"/>
        <name val="Calibri"/>
        <family val="2"/>
        <scheme val="minor"/>
      </font>
    </dxf>
    <dxf>
      <font>
        <strike val="0"/>
        <outline val="0"/>
        <shadow val="0"/>
        <u val="none"/>
        <vertAlign val="baseline"/>
        <name val="Calibri"/>
        <family val="2"/>
        <scheme val="minor"/>
      </font>
      <border diagonalUp="0" diagonalDown="0">
        <left/>
        <right style="medium">
          <color indexed="64"/>
        </right>
        <top/>
        <bottom/>
        <vertical/>
        <horizontal/>
      </border>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border diagonalUp="0" diagonalDown="0">
        <left style="medium">
          <color indexed="64"/>
        </left>
        <right/>
        <top/>
        <bottom/>
        <vertical/>
        <horizontal/>
      </border>
    </dxf>
    <dxf>
      <font>
        <strike val="0"/>
        <outline val="0"/>
        <shadow val="0"/>
        <u val="none"/>
        <vertAlign val="baseline"/>
        <name val="Calibri"/>
        <family val="2"/>
        <scheme val="none"/>
      </font>
    </dxf>
    <dxf>
      <font>
        <strike val="0"/>
        <outline val="0"/>
        <shadow val="0"/>
        <u val="none"/>
        <vertAlign val="baseline"/>
        <sz val="14"/>
        <color theme="1"/>
        <name val="Calibri"/>
        <family val="2"/>
        <scheme val="minor"/>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sz val="12"/>
        <color theme="1"/>
        <name val="Calibri"/>
        <family val="2"/>
        <scheme val="minor"/>
      </font>
      <alignment horizontal="general" vertical="top" textRotation="0" indent="0" justifyLastLine="0" shrinkToFit="0" readingOrder="0"/>
    </dxf>
    <dxf>
      <font>
        <b/>
        <strike val="0"/>
        <outline val="0"/>
        <shadow val="0"/>
        <u val="none"/>
        <vertAlign val="baseline"/>
        <sz val="14"/>
        <name val="Calibri"/>
        <family val="2"/>
        <scheme val="minor"/>
      </font>
      <border diagonalUp="0" diagonalDown="0">
        <left style="medium">
          <color indexed="64"/>
        </left>
        <right/>
        <top/>
        <bottom/>
      </border>
    </dxf>
    <dxf>
      <font>
        <strike val="0"/>
        <outline val="0"/>
        <shadow val="0"/>
        <u val="none"/>
        <vertAlign val="baseline"/>
        <name val="Calibri"/>
        <family val="2"/>
        <scheme val="none"/>
      </font>
    </dxf>
    <dxf>
      <font>
        <strike val="0"/>
        <outline val="0"/>
        <shadow val="0"/>
        <u val="none"/>
        <vertAlign val="baseline"/>
        <sz val="14"/>
        <color theme="1"/>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none"/>
      </font>
    </dxf>
    <dxf>
      <font>
        <strike val="0"/>
        <outline val="0"/>
        <shadow val="0"/>
        <u val="none"/>
        <vertAlign val="baseline"/>
        <sz val="14"/>
        <color theme="1"/>
        <name val="Calibri"/>
        <family val="2"/>
        <scheme val="minor"/>
      </font>
    </dxf>
    <dxf>
      <font>
        <strike val="0"/>
        <outline val="0"/>
        <shadow val="0"/>
        <u val="none"/>
        <vertAlign val="baseline"/>
        <name val="Calibri"/>
        <family val="2"/>
        <scheme val="none"/>
      </font>
      <alignment horizontal="general" vertical="top" textRotation="0" wrapText="1" indent="0" justifyLastLine="0" shrinkToFit="0" readingOrder="0"/>
      <border diagonalUp="0" diagonalDown="0" outline="0">
        <left/>
        <right style="medium">
          <color indexed="64"/>
        </right>
        <top/>
        <bottom/>
      </border>
    </dxf>
    <dxf>
      <font>
        <strike val="0"/>
        <outline val="0"/>
        <shadow val="0"/>
        <u val="none"/>
        <vertAlign val="baseline"/>
        <sz val="14"/>
        <color theme="0" tint="-0.499984740745262"/>
        <name val="Calibri"/>
        <family val="2"/>
        <scheme val="none"/>
      </font>
    </dxf>
    <dxf>
      <font>
        <strike val="0"/>
        <outline val="0"/>
        <shadow val="0"/>
        <u val="none"/>
        <vertAlign val="baseline"/>
        <name val="Calibri"/>
        <family val="2"/>
        <scheme val="minor"/>
      </font>
    </dxf>
    <dxf>
      <font>
        <strike val="0"/>
        <outline val="0"/>
        <shadow val="0"/>
        <u val="none"/>
        <vertAlign val="baseline"/>
        <sz val="12"/>
        <color auto="1"/>
        <name val="Calibri"/>
        <family val="2"/>
        <scheme val="minor"/>
      </font>
      <alignment horizontal="general" vertical="bottom" textRotation="0" wrapText="1" indent="0" justifyLastLine="0" shrinkToFit="0" readingOrder="0"/>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sz val="12"/>
        <color theme="1"/>
        <name val="Calibri"/>
        <family val="2"/>
        <scheme val="minor"/>
      </font>
      <alignment horizontal="general" vertical="top" textRotation="0" wrapText="1" indent="0" justifyLastLine="0" shrinkToFit="0" readingOrder="0"/>
    </dxf>
    <dxf>
      <font>
        <b/>
        <strike val="0"/>
        <outline val="0"/>
        <shadow val="0"/>
        <u val="none"/>
        <vertAlign val="baseline"/>
        <sz val="14"/>
        <name val="Calibri"/>
        <family val="2"/>
        <scheme val="minor"/>
      </font>
      <border diagonalUp="0" diagonalDown="0" outline="0">
        <left style="medium">
          <color indexed="64"/>
        </left>
        <right/>
        <top/>
        <bottom/>
      </border>
    </dxf>
    <dxf>
      <font>
        <strike val="0"/>
        <outline val="0"/>
        <shadow val="0"/>
        <u val="none"/>
        <vertAlign val="baseline"/>
        <name val="Calibri"/>
        <family val="2"/>
        <scheme val="none"/>
      </font>
    </dxf>
    <dxf>
      <font>
        <strike val="0"/>
        <outline val="0"/>
        <shadow val="0"/>
        <u val="none"/>
        <vertAlign val="baseline"/>
        <sz val="14"/>
        <color theme="1"/>
        <name val="Calibri"/>
        <family val="2"/>
        <scheme val="minor"/>
      </font>
    </dxf>
    <dxf>
      <font>
        <strike val="0"/>
        <outline val="0"/>
        <shadow val="0"/>
        <u val="none"/>
        <vertAlign val="baseline"/>
        <name val="Calibri"/>
        <family val="2"/>
        <scheme val="minor"/>
      </font>
      <border diagonalUp="0" diagonalDown="0">
        <left/>
        <right style="medium">
          <color indexed="64"/>
        </right>
        <top/>
        <bottom/>
        <vertical/>
        <horizontal/>
      </border>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border diagonalUp="0" diagonalDown="0">
        <left style="medium">
          <color indexed="64"/>
        </left>
        <right/>
        <top/>
        <bottom/>
        <vertical/>
        <horizontal/>
      </border>
    </dxf>
    <dxf>
      <font>
        <strike val="0"/>
        <outline val="0"/>
        <shadow val="0"/>
        <u val="none"/>
        <vertAlign val="baseline"/>
        <name val="Calibri"/>
        <family val="2"/>
        <scheme val="none"/>
      </font>
    </dxf>
    <dxf>
      <font>
        <strike val="0"/>
        <outline val="0"/>
        <shadow val="0"/>
        <u val="none"/>
        <vertAlign val="baseline"/>
        <sz val="14"/>
        <color theme="1"/>
        <name val="Calibri"/>
        <family val="2"/>
        <scheme val="minor"/>
      </font>
    </dxf>
    <dxf>
      <font>
        <strike val="0"/>
        <outline val="0"/>
        <shadow val="0"/>
        <u val="none"/>
        <vertAlign val="baseline"/>
        <name val="Calibri"/>
        <family val="2"/>
        <scheme val="none"/>
      </font>
      <alignment horizontal="general" vertical="bottom" textRotation="0" wrapText="1" indent="0" justifyLastLine="0" shrinkToFit="0" readingOrder="0"/>
      <border diagonalUp="0" diagonalDown="0" outline="0">
        <left/>
        <right style="medium">
          <color indexed="64"/>
        </right>
        <top/>
        <bottom/>
      </border>
    </dxf>
    <dxf>
      <font>
        <strike val="0"/>
        <outline val="0"/>
        <shadow val="0"/>
        <u val="none"/>
        <vertAlign val="baseline"/>
        <sz val="14"/>
        <name val="Calibri"/>
        <family val="2"/>
        <scheme val="none"/>
      </font>
    </dxf>
    <dxf>
      <font>
        <strike val="0"/>
        <outline val="0"/>
        <shadow val="0"/>
        <u val="none"/>
        <vertAlign val="baseline"/>
        <name val="Calibri"/>
        <family val="2"/>
        <scheme val="minor"/>
      </font>
    </dxf>
    <dxf>
      <font>
        <strike val="0"/>
        <outline val="0"/>
        <shadow val="0"/>
        <u val="none"/>
        <vertAlign val="baseline"/>
        <name val="Calibri"/>
        <family val="2"/>
        <scheme val="minor"/>
      </font>
      <alignment horizontal="general" vertical="bottom" textRotation="0" wrapText="1" indent="0" justifyLastLine="0" shrinkToFit="0" readingOrder="0"/>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sz val="12"/>
        <color theme="1"/>
        <name val="Calibri"/>
        <family val="2"/>
        <scheme val="minor"/>
      </font>
    </dxf>
    <dxf>
      <font>
        <b/>
        <strike val="0"/>
        <outline val="0"/>
        <shadow val="0"/>
        <u val="none"/>
        <vertAlign val="baseline"/>
        <sz val="14"/>
        <name val="Calibri"/>
        <family val="2"/>
        <scheme val="minor"/>
      </font>
      <border diagonalUp="0" diagonalDown="0">
        <left style="medium">
          <color indexed="64"/>
        </left>
        <right/>
        <top/>
        <bottom/>
        <vertical/>
        <horizontal/>
      </border>
    </dxf>
    <dxf>
      <font>
        <strike val="0"/>
        <outline val="0"/>
        <shadow val="0"/>
        <u val="none"/>
        <vertAlign val="baseline"/>
        <name val="Calibri"/>
        <family val="2"/>
        <scheme val="none"/>
      </font>
    </dxf>
    <dxf>
      <font>
        <strike val="0"/>
        <outline val="0"/>
        <shadow val="0"/>
        <u val="none"/>
        <vertAlign val="baseline"/>
        <sz val="14"/>
        <color theme="1"/>
        <name val="Calibri"/>
        <family val="2"/>
        <scheme val="minor"/>
      </font>
    </dxf>
    <dxf>
      <font>
        <strike val="0"/>
        <outline val="0"/>
        <shadow val="0"/>
        <u val="none"/>
        <vertAlign val="baseline"/>
        <name val="Calibri"/>
        <family val="2"/>
        <scheme val="minor"/>
      </font>
      <border diagonalUp="0" diagonalDown="0">
        <left/>
        <right style="medium">
          <color indexed="64"/>
        </right>
        <top/>
        <bottom/>
        <vertical/>
        <horizontal/>
      </border>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border diagonalUp="0" diagonalDown="0">
        <left style="medium">
          <color indexed="64"/>
        </left>
        <right/>
        <top/>
        <bottom/>
        <vertical/>
        <horizontal/>
      </border>
    </dxf>
    <dxf>
      <font>
        <strike val="0"/>
        <outline val="0"/>
        <shadow val="0"/>
        <u val="none"/>
        <vertAlign val="baseline"/>
        <name val="Calibri"/>
        <family val="2"/>
        <scheme val="none"/>
      </font>
    </dxf>
    <dxf>
      <font>
        <strike val="0"/>
        <outline val="0"/>
        <shadow val="0"/>
        <u val="none"/>
        <vertAlign val="baseline"/>
        <sz val="14"/>
        <color theme="1"/>
        <name val="Calibri"/>
        <family val="2"/>
        <scheme val="minor"/>
      </font>
    </dxf>
    <dxf>
      <font>
        <strike val="0"/>
        <outline val="0"/>
        <shadow val="0"/>
        <u val="none"/>
        <vertAlign val="baseline"/>
        <name val="Calibri"/>
        <family val="2"/>
        <scheme val="none"/>
      </font>
      <alignment horizontal="general" vertical="bottom" textRotation="0" wrapText="1" indent="0" justifyLastLine="0" shrinkToFit="0" readingOrder="0"/>
      <border diagonalUp="0" diagonalDown="0" outline="0">
        <left/>
        <right style="medium">
          <color indexed="64"/>
        </right>
        <top/>
        <bottom/>
      </border>
    </dxf>
    <dxf>
      <font>
        <strike val="0"/>
        <outline val="0"/>
        <shadow val="0"/>
        <u val="none"/>
        <vertAlign val="baseline"/>
        <sz val="14"/>
        <name val="Calibri"/>
        <family val="2"/>
        <scheme val="none"/>
      </font>
    </dxf>
    <dxf>
      <font>
        <strike val="0"/>
        <outline val="0"/>
        <shadow val="0"/>
        <u val="none"/>
        <vertAlign val="baseline"/>
        <name val="Calibri"/>
        <family val="2"/>
        <scheme val="minor"/>
      </font>
    </dxf>
    <dxf>
      <font>
        <strike val="0"/>
        <outline val="0"/>
        <shadow val="0"/>
        <u val="none"/>
        <vertAlign val="baseline"/>
        <name val="Calibri"/>
        <family val="2"/>
        <scheme val="minor"/>
      </font>
      <alignment horizontal="general" vertical="bottom" textRotation="0" wrapText="1" indent="0" justifyLastLine="0" shrinkToFit="0" readingOrder="0"/>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sz val="14"/>
        <color theme="1"/>
        <name val="Calibri"/>
        <family val="2"/>
        <scheme val="minor"/>
      </font>
      <alignment horizontal="general" vertical="center" textRotation="0" wrapText="0" indent="0" justifyLastLine="0" shrinkToFit="0" readingOrder="0"/>
    </dxf>
    <dxf>
      <font>
        <strike val="0"/>
        <outline val="0"/>
        <shadow val="0"/>
        <u val="none"/>
        <vertAlign val="baseline"/>
        <sz val="12"/>
        <name val="Calibri"/>
        <family val="2"/>
        <scheme val="minor"/>
      </font>
      <alignment horizontal="general" vertical="top" textRotation="0" wrapText="1" indent="0" justifyLastLine="0" shrinkToFit="0" readingOrder="0"/>
    </dxf>
    <dxf>
      <font>
        <strike val="0"/>
        <outline val="0"/>
        <shadow val="0"/>
        <u val="none"/>
        <vertAlign val="baseline"/>
        <sz val="14"/>
        <name val="Calibri"/>
        <family val="2"/>
        <scheme val="minor"/>
      </font>
      <border diagonalUp="0" diagonalDown="0" outline="0">
        <left style="medium">
          <color indexed="64"/>
        </left>
        <right/>
        <top/>
        <bottom/>
      </border>
    </dxf>
    <dxf>
      <font>
        <strike val="0"/>
        <outline val="0"/>
        <shadow val="0"/>
        <u val="none"/>
        <vertAlign val="baseline"/>
        <name val="Calibri"/>
        <family val="2"/>
        <scheme val="none"/>
      </font>
    </dxf>
    <dxf>
      <font>
        <strike val="0"/>
        <outline val="0"/>
        <shadow val="0"/>
        <u val="none"/>
        <vertAlign val="baseline"/>
        <sz val="12"/>
        <color theme="1"/>
        <name val="Calibri"/>
        <family val="2"/>
        <scheme val="minor"/>
      </font>
    </dxf>
    <dxf>
      <font>
        <strike val="0"/>
        <outline val="0"/>
        <shadow val="0"/>
        <u val="none"/>
        <vertAlign val="baseline"/>
        <name val="Calibri"/>
        <family val="2"/>
        <scheme val="minor"/>
      </font>
      <border diagonalUp="0" diagonalDown="0">
        <left/>
        <right style="medium">
          <color indexed="64"/>
        </right>
        <top/>
        <bottom/>
        <vertical/>
        <horizontal/>
      </border>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border diagonalUp="0" diagonalDown="0">
        <left style="medium">
          <color indexed="64"/>
        </left>
        <right/>
        <top/>
        <bottom/>
        <vertical/>
        <horizontal/>
      </border>
    </dxf>
    <dxf>
      <font>
        <strike val="0"/>
        <outline val="0"/>
        <shadow val="0"/>
        <u val="none"/>
        <vertAlign val="baseline"/>
        <name val="Calibri"/>
        <family val="2"/>
        <scheme val="none"/>
      </font>
    </dxf>
    <dxf>
      <font>
        <strike val="0"/>
        <outline val="0"/>
        <shadow val="0"/>
        <u val="none"/>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8" xr16:uid="{395E5AD9-DCEE-4BBE-9D01-F66E30A9DFF8}" autoFormatId="16" applyNumberFormats="0" applyBorderFormats="0" applyFontFormats="0" applyPatternFormats="0" applyAlignmentFormats="0" applyWidthHeightFormats="0">
  <queryTableRefresh nextId="11">
    <queryTableFields count="9">
      <queryTableField id="1" name="Goal #" tableColumnId="1"/>
      <queryTableField id="2" name="Success Indicator" tableColumnId="2"/>
      <queryTableField id="3" name="ATI Stakeholder" tableColumnId="3"/>
      <queryTableField id="5" name="2021 Evidence" tableColumnId="5"/>
      <queryTableField id="6" name="Review Questions / Instructions" tableColumnId="6"/>
      <queryTableField id="7" name="2023 Status" tableColumnId="7"/>
      <queryTableField id="10" dataBound="0" tableColumnId="10"/>
      <queryTableField id="8" name="2023 Evidence" tableColumnId="8"/>
      <queryTableField id="9" name="Gap Description / Impact"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EEE3C82-DB2C-46AC-875B-9E31FCDED04B}" name="evidence_collection" displayName="evidence_collection" ref="A5:I93" tableType="queryTable" totalsRowShown="0">
  <autoFilter ref="A5:I93" xr:uid="{0EEE3C82-DB2C-46AC-875B-9E31FCDED04B}"/>
  <sortState xmlns:xlrd2="http://schemas.microsoft.com/office/spreadsheetml/2017/richdata2" ref="A6:I93">
    <sortCondition ref="C5:C93"/>
  </sortState>
  <tableColumns count="9">
    <tableColumn id="1" xr3:uid="{45E77AE3-DA86-44DC-81AD-261B93930724}" uniqueName="1" name="Goal #" queryTableFieldId="1" dataDxfId="8"/>
    <tableColumn id="2" xr3:uid="{747B793B-080C-44F8-820B-0AEF9C0264E0}" uniqueName="2" name="Success Indicator" queryTableFieldId="2" dataDxfId="7"/>
    <tableColumn id="3" xr3:uid="{0D30FE37-CB4D-4049-B38F-5A6FD156E0BE}" uniqueName="3" name="ATI Stakeholder" queryTableFieldId="3" dataDxfId="6"/>
    <tableColumn id="5" xr3:uid="{18C1E995-F5B0-43DA-89CB-49224FAE28AE}" uniqueName="5" name="2021 Evidence" queryTableFieldId="5" dataDxfId="5"/>
    <tableColumn id="6" xr3:uid="{7C8274DF-98CB-421B-AAAD-52D2F0178D5D}" uniqueName="6" name="Review Questions / Instructions" queryTableFieldId="6" dataDxfId="4"/>
    <tableColumn id="7" xr3:uid="{73D87F4E-40EA-473B-BC5C-F6932BA367A7}" uniqueName="7" name="2023 Status" queryTableFieldId="7" dataDxfId="3"/>
    <tableColumn id="10" xr3:uid="{7331C318-B389-4AC5-B46E-29C8F394B913}" uniqueName="10" name="2023 Evidence Collection" queryTableFieldId="10" dataDxfId="2"/>
    <tableColumn id="8" xr3:uid="{81475EA1-3402-4F8D-BB90-280B06230775}" uniqueName="8" name="2023 Evidence" queryTableFieldId="8" dataDxfId="1"/>
    <tableColumn id="9" xr3:uid="{09999734-3890-4B1B-9435-46BF24CA48DE}" uniqueName="9" name="Gap Description / Impact" queryTableFieldId="9"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55EF7AA-57B5-4B8A-A8E8-7F67C908B0F7}" name="Table219" displayName="Table219" ref="A5:E7" totalsRowShown="0" headerRowDxfId="456" dataDxfId="455">
  <autoFilter ref="A5:E7" xr:uid="{621DFC4B-2FDF-4A67-B837-36B491E34815}"/>
  <tableColumns count="5">
    <tableColumn id="1" xr3:uid="{A9674253-49A2-44E7-8861-D6A79CB8E58C}" name="Goal" dataDxfId="454"/>
    <tableColumn id="2" xr3:uid="{8432A131-7F93-44D5-81D8-0F5E7232C8A9}" name="Goal Status" dataDxfId="453"/>
    <tableColumn id="3" xr3:uid="{31DA94F5-DB1A-40A2-A852-C74CCDB614BC}" name="Key Accomplishements" dataDxfId="452"/>
    <tableColumn id="4" xr3:uid="{F3D7641A-786A-4E1A-B016-5626B50EEFDC}" name="Key Plans" dataDxfId="451"/>
    <tableColumn id="5" xr3:uid="{F4CF7648-44F2-4214-8972-EA01AD54C543}" name="Comments" dataDxfId="450"/>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FC47B2C-0922-4F9E-9973-5F1EF46644BB}" name="_pro01" displayName="_pro01" ref="A9:L20" totalsRowShown="0" headerRowDxfId="449" dataDxfId="448">
  <autoFilter ref="A9:L20" xr:uid="{9A455438-1C49-4E0D-8DB4-9AAB45374356}"/>
  <tableColumns count="12">
    <tableColumn id="1" xr3:uid="{933A07BF-E03C-4637-B1C9-C15D848BE032}" name="Goal #" dataDxfId="447"/>
    <tableColumn id="2" xr3:uid="{9048B66F-B340-467C-9204-A37264E49F1B}" name="Success Indicator" dataDxfId="446"/>
    <tableColumn id="3" xr3:uid="{3F593922-CFDA-47F3-AEB9-83DFC39788CF}" name="Status" dataDxfId="445"/>
    <tableColumn id="4" xr3:uid="{866D55E4-A954-4876-BF85-2BD58272B623}" name="Year Started " dataDxfId="444"/>
    <tableColumn id="5" xr3:uid="{2A838E2E-09B7-49BE-BCF5-BF59A7D934FD}" name="Worked on? (Yes/No) " dataDxfId="443"/>
    <tableColumn id="6" xr3:uid="{365638C5-B5A1-45E2-A61B-C62D7CFB1780}" name="Will work on?" dataDxfId="442"/>
    <tableColumn id="7" xr3:uid="{72765C13-7141-4E91-B4DA-3BD20A86295C}" name="Will work on? (Yes/No)" dataDxfId="441"/>
    <tableColumn id="8" xr3:uid="{C11E4627-F424-4D64-8137-44556D291EDC}" name="Evidence/Comments?" dataDxfId="440"/>
    <tableColumn id="9" xr3:uid="{25D767F7-F69A-4589-A98A-9EEBA7401789}" name="Department Stakeholder?" dataDxfId="439"/>
    <tableColumn id="10" xr3:uid="{EE384DC2-BAB9-460C-A4AB-7A767CB50560}" name="Supporting URLs" dataDxfId="438"/>
    <tableColumn id="11" xr3:uid="{ADCECB4D-3C6F-4236-BB8E-8C3BA9840CC3}" name="2021 Status" dataDxfId="437"/>
    <tableColumn id="12" xr3:uid="{95D8A7F1-9D56-4536-8F9A-D462F62011D1}" name="2021 Evidence" dataDxfId="436"/>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7752CA-D6C1-4116-A47C-6442D4FA72F1}" name="Table2623" displayName="Table2623" ref="A24:E26" totalsRowShown="0" headerRowDxfId="435" dataDxfId="434">
  <autoFilter ref="A24:E26" xr:uid="{98FFD12D-18D8-4F45-882A-80B223C38730}"/>
  <tableColumns count="5">
    <tableColumn id="1" xr3:uid="{3E26F6DF-DE2D-4EAF-8D97-22B33D60F8F9}" name="Goal" dataDxfId="433"/>
    <tableColumn id="2" xr3:uid="{46FEA868-842B-4167-9AC0-7DC22D1E4816}" name="Goal Status" dataDxfId="432"/>
    <tableColumn id="3" xr3:uid="{F8B7161C-8F33-4AC3-BD75-1A6783668FD1}" name="Key Accomplishements" dataDxfId="431"/>
    <tableColumn id="4" xr3:uid="{19CE6274-E6C2-4E1A-9763-6688C8EA6DD9}" name="Key Plans" dataDxfId="430"/>
    <tableColumn id="5" xr3:uid="{4787FAB2-BDAD-4CB6-8AB9-B9E5979E696F}" name="Comments" dataDxfId="429"/>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91781B9-2927-428E-B8C9-CE45C9D89732}" name="_pro04" displayName="_pro04" ref="A32:L38" totalsRowShown="0" headerRowDxfId="428" dataDxfId="427">
  <autoFilter ref="A32:L38" xr:uid="{8301C01A-839C-4447-84CC-B4EDC6EC5EE6}"/>
  <tableColumns count="12">
    <tableColumn id="1" xr3:uid="{F389B9BF-80A4-492B-A32D-8755A933083A}" name="Goal #" dataDxfId="426"/>
    <tableColumn id="2" xr3:uid="{E54BF631-66E7-469A-B7C5-9837F83CC4C2}" name="Success Indicator" dataDxfId="425"/>
    <tableColumn id="3" xr3:uid="{A3198D07-03AA-46C2-BD91-00CD3842D335}" name="Status" dataDxfId="424"/>
    <tableColumn id="4" xr3:uid="{4EAA6594-243E-46D0-854A-97D50467D724}" name="Year Started " dataDxfId="423"/>
    <tableColumn id="5" xr3:uid="{9EBB8096-640F-4291-AF9E-77629D1C3D36}" name="Worked on? (Yes/No) " dataDxfId="422"/>
    <tableColumn id="6" xr3:uid="{B3D43ACE-D975-4616-870C-18FCFCEABD51}" name="Will work on?" dataDxfId="421"/>
    <tableColumn id="7" xr3:uid="{0618EE62-94BF-4960-A743-2E147E60199E}" name="Will work on? (Yes/No)" dataDxfId="420"/>
    <tableColumn id="8" xr3:uid="{ADA6598F-A702-459A-8025-0B3DB21B9A38}" name="Evidence/Comments?" dataDxfId="419"/>
    <tableColumn id="9" xr3:uid="{B41C27E4-E34F-4119-A073-9721D379377A}" name="Department Stakeholder?" dataDxfId="418"/>
    <tableColumn id="10" xr3:uid="{72C865DC-10E2-403D-B3C1-E9093C49EC9B}" name="Supporting URLS" dataDxfId="417"/>
    <tableColumn id="11" xr3:uid="{E80BC1B4-10AF-4CDE-85B2-36E49F97A3EC}" name="2021 Status" dataDxfId="416"/>
    <tableColumn id="12" xr3:uid="{960C128B-5F78-4A03-AA0A-C5FD18807638}" name="2021 Evidence" dataDxfId="415"/>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3377D41-3A33-4AB2-B930-669C7C15A6BF}" name="Table26835" displayName="Table26835" ref="A42:E44" totalsRowShown="0" headerRowDxfId="414" dataDxfId="413">
  <autoFilter ref="A42:E44" xr:uid="{793D9CE1-1A73-4C88-83DE-B77184090544}"/>
  <tableColumns count="5">
    <tableColumn id="1" xr3:uid="{01FF546F-A847-456A-8442-57D14EB5556E}" name="Goal" dataDxfId="412"/>
    <tableColumn id="2" xr3:uid="{5AA2244B-02EB-487E-BF34-87EDAF2C129E}" name="Goal Status" dataDxfId="411"/>
    <tableColumn id="3" xr3:uid="{0E40F6D6-B7F2-4970-9D70-B91FBFFC1D5E}" name="Key Accomplishements" dataDxfId="410"/>
    <tableColumn id="4" xr3:uid="{EE5B0E82-5624-456A-87B9-48071BC13973}" name="Key Plans" dataDxfId="409"/>
    <tableColumn id="5" xr3:uid="{CE111D44-5FC3-443E-80A4-150A4708D33A}" name="Comments" dataDxfId="408"/>
  </tableColumns>
  <tableStyleInfo name="TableStyleMedium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65158E5-6E82-43C6-BD7C-3B8D55979DEF}" name="_pro05" displayName="_pro05" ref="A50:L60" totalsRowShown="0" headerRowDxfId="407" dataDxfId="406">
  <autoFilter ref="A50:L60" xr:uid="{1447A403-F1C0-414E-9268-E0ED4ED467A5}"/>
  <tableColumns count="12">
    <tableColumn id="1" xr3:uid="{F932ACF8-CB5D-47F4-ADBE-6ABAD646381F}" name="Goal #" dataDxfId="405"/>
    <tableColumn id="2" xr3:uid="{F41D3E70-AA5D-4DD6-987B-FC4B2340B615}" name="Success Indicator" dataDxfId="404"/>
    <tableColumn id="3" xr3:uid="{D4ED91FF-5A06-4C2D-8CE2-7FF403C37364}" name="Status" dataDxfId="403"/>
    <tableColumn id="4" xr3:uid="{A23DC197-E4AC-494C-A10E-060D5637E675}" name="Year Started " dataDxfId="402"/>
    <tableColumn id="5" xr3:uid="{E21AEE47-CFFA-43C8-A3AF-5CBDCA9E9E13}" name="Worked on? (Yes/No) " dataDxfId="401"/>
    <tableColumn id="6" xr3:uid="{A363E440-473D-4516-A835-A6A6F5C97C9F}" name="Will work on?" dataDxfId="400"/>
    <tableColumn id="7" xr3:uid="{7DAD42A5-FE40-4110-AF39-ABABC7C2BF12}" name="Will work on? (Yes/No)" dataDxfId="399"/>
    <tableColumn id="8" xr3:uid="{BDDC6E9B-58DC-400F-B236-3FFC0D70EA14}" name="Evidence/Comments?" dataDxfId="398"/>
    <tableColumn id="9" xr3:uid="{41DCF7E6-CC8E-4BF6-86AF-C28AC70F9050}" name="Department Stakeholder?" dataDxfId="397"/>
    <tableColumn id="10" xr3:uid="{D29EE7C5-0D08-4EE4-920A-02F2339105C2}" name="Supporting URLS" dataDxfId="396"/>
    <tableColumn id="11" xr3:uid="{DBFBF517-2C4F-42DA-86F6-AB9C6ED1A343}" name="2021 Status" dataDxfId="395"/>
    <tableColumn id="12" xr3:uid="{EE173CEB-27FC-4588-BD32-C1EDE5876286}" name="2021 Evidence" dataDxfId="394"/>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5C50DBD6-95B5-43F9-9E43-84E1CC11ED7A}" name="Table2681039" displayName="Table2681039" ref="A67:E69" totalsRowShown="0" headerRowDxfId="393" dataDxfId="392">
  <autoFilter ref="A67:E69" xr:uid="{623C0DE4-6917-4C22-9A24-B4EE91032E76}"/>
  <tableColumns count="5">
    <tableColumn id="1" xr3:uid="{1EBFEF27-4456-45DE-A40B-BD1991E1238D}" name="Goal" dataDxfId="391"/>
    <tableColumn id="2" xr3:uid="{B0CD6501-372F-4554-957E-7826DED82F17}" name="Goal Status" dataDxfId="390"/>
    <tableColumn id="3" xr3:uid="{2BD99075-A633-434F-97EF-570B92C5078E}" name="Key Accomplishements" dataDxfId="389"/>
    <tableColumn id="4" xr3:uid="{4BCCE15C-80D6-4D10-B03A-4CD703B50EF8}" name="Key Plans" dataDxfId="388"/>
    <tableColumn id="5" xr3:uid="{87BECF37-3291-45C1-9EB3-35ED1783494B}" name="Comments" dataDxfId="387"/>
  </tableColumns>
  <tableStyleInfo name="TableStyleMedium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B2E53200-DC62-4A1A-B933-40B6EC492A96}" name="_pro08" displayName="_pro08" ref="A71:F81" totalsRowShown="0" headerRowDxfId="386" dataDxfId="385">
  <autoFilter ref="A71:F81" xr:uid="{39FDAE08-3A53-48AF-83F3-CCE497CFF601}"/>
  <tableColumns count="6">
    <tableColumn id="1" xr3:uid="{FC262258-3F55-4571-9043-C936E9F757C2}" name="Goal #" dataDxfId="384"/>
    <tableColumn id="2" xr3:uid="{ADD5E70D-687D-4145-8F0E-DED29254D158}" name="Success Indicator" dataDxfId="383"/>
    <tableColumn id="3" xr3:uid="{03A2D04C-4AD1-47F1-84AE-A233894F34BE}" name="Numeric Value" dataDxfId="382"/>
    <tableColumn id="4" xr3:uid="{D0D4C827-516D-4EEF-9C8B-EB8823B840CB}" name="Evidence" dataDxfId="381"/>
    <tableColumn id="11" xr3:uid="{78CA1F92-A700-4A2C-8E03-16ADC10DACE1}" name="2021 Numeric Value" dataDxfId="380"/>
    <tableColumn id="12" xr3:uid="{EA5C53E7-29FC-4DB7-A0BE-EC0FC60D676D}" name="2021 Evidence" dataDxfId="379"/>
  </tableColumns>
  <tableStyleInfo name="TableStyleMedium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8A00D547-6A2B-4390-9D51-04E944E19ABD}" name="Table2681241" displayName="Table2681241" ref="A85:E87" totalsRowShown="0" headerRowDxfId="378" dataDxfId="377">
  <autoFilter ref="A85:E87" xr:uid="{BF773631-2E14-44A6-B847-4B1D0E5A2817}"/>
  <tableColumns count="5">
    <tableColumn id="1" xr3:uid="{82F0D890-C5E4-4F3C-A489-5E71B897DABB}" name="Goal" dataDxfId="376"/>
    <tableColumn id="2" xr3:uid="{A9A14177-3E2D-4F5B-A1FD-405C8A7F5D51}" name="Goal Status" dataDxfId="375"/>
    <tableColumn id="3" xr3:uid="{78BD26A5-6FD9-40C1-9839-A986336DE70A}" name="Key Accomplishements" dataDxfId="374"/>
    <tableColumn id="4" xr3:uid="{674BEC9E-98E5-474B-B76C-4E903C541030}" name="Key Plans" dataDxfId="373"/>
    <tableColumn id="5" xr3:uid="{52F37B5F-56D2-49D3-9CA8-8E3C3E8C18B8}" name="Comments" dataDxfId="372"/>
  </tableColumns>
  <tableStyleInfo name="TableStyleMedium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69AFF6D3-140C-4425-9B37-8D4A7CC7A05C}" name="_pro09" displayName="_pro09" ref="A89:L91" totalsRowShown="0" headerRowDxfId="371" dataDxfId="370">
  <autoFilter ref="A89:L91" xr:uid="{E6136DE6-25BD-4043-A6B0-3546B080506E}"/>
  <tableColumns count="12">
    <tableColumn id="1" xr3:uid="{DE19EAE3-4912-44CA-82CA-E3E94DACF7F2}" name="Goal #" dataDxfId="369"/>
    <tableColumn id="2" xr3:uid="{78F22172-A77A-402D-A904-1E15C3689C36}" name="Success Indicator" dataDxfId="368"/>
    <tableColumn id="3" xr3:uid="{0F8AEC6C-C4EE-4067-B76E-2F6E3F211F0F}" name="Status" dataDxfId="367"/>
    <tableColumn id="4" xr3:uid="{43384257-D09F-4BB6-BD15-48FE5DA777C4}" name="Year Started " dataDxfId="366"/>
    <tableColumn id="5" xr3:uid="{20CBD17A-D93D-4F9F-B485-2B32EC74FAF3}" name="Worked on? (Yes/No) " dataDxfId="365"/>
    <tableColumn id="6" xr3:uid="{DC47E3EF-B81C-435C-829A-600B24328B0D}" name="Will work on?" dataDxfId="364"/>
    <tableColumn id="7" xr3:uid="{771544A7-9857-40AA-9CF2-67179E54BEF0}" name="Will work on? (Yes/No)" dataDxfId="363"/>
    <tableColumn id="8" xr3:uid="{BA14B832-A9F7-4E55-B720-5EE8AFF4B5D3}" name="Evidence/Comments?" dataDxfId="362"/>
    <tableColumn id="9" xr3:uid="{4F31CE21-35E8-488B-901E-77EC15BA6875}" name="Department Stakeholder?" dataDxfId="361"/>
    <tableColumn id="10" xr3:uid="{F44F270A-7D33-4371-8527-FFE9C8DD35DF}" name="Supporting URLS" dataDxfId="360"/>
    <tableColumn id="11" xr3:uid="{B9525007-3A2A-4E27-8346-B6A4DCA2403A}" name="2021 Status" dataDxfId="359"/>
    <tableColumn id="12" xr3:uid="{64249034-9CF5-4C0C-BD1F-C3CA030C1A78}" name="2021 Evidence" dataDxfId="358"/>
  </tableColumns>
  <tableStyleInfo name="TableStyleMedium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E8D5184A-F4A2-4682-B621-546DE0D0D252}" name="Table26820" displayName="Table26820" ref="A3:E5" totalsRowShown="0">
  <autoFilter ref="A3:E5" xr:uid="{E8D5184A-F4A2-4682-B621-546DE0D0D252}"/>
  <tableColumns count="5">
    <tableColumn id="1" xr3:uid="{123AB875-A56F-4901-9E33-23FBDA255BF3}" name="Goal"/>
    <tableColumn id="2" xr3:uid="{915C2A4F-F8F1-443D-A303-86D677C5150D}" name="Goal Status"/>
    <tableColumn id="3" xr3:uid="{C1001525-A693-485F-94FD-F26C4BC14C93}" name="Key Accomplishements"/>
    <tableColumn id="4" xr3:uid="{5943CEC5-4A2B-497E-A8BF-4B60B01F9B17}" name="Key Plans"/>
    <tableColumn id="5" xr3:uid="{8B372BF1-77BE-4E6F-AB8B-24E7A2D0E161}" name="Comments"/>
  </tableColumns>
  <tableStyleInfo name="TableStyleMedium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E42A844-177A-4499-B6C8-A529EA214EA4}" name="_im01" displayName="_im01" ref="A7:L13" totalsRowShown="0">
  <autoFilter ref="A7:L13" xr:uid="{4E42A844-177A-4499-B6C8-A529EA214EA4}"/>
  <tableColumns count="12">
    <tableColumn id="1" xr3:uid="{782DFFAA-BC33-458F-9E17-FE33B45BD6BF}" name="Goal #" dataDxfId="357"/>
    <tableColumn id="2" xr3:uid="{27C24662-3A95-4C04-9C44-F7F4F13EAEBB}" name="Success Indicator" dataDxfId="356"/>
    <tableColumn id="3" xr3:uid="{312CA2F4-818A-4C87-B7DA-098DDDF04F8E}" name="Status"/>
    <tableColumn id="4" xr3:uid="{B0344F81-D730-4198-869C-89C209828139}" name="Year Started "/>
    <tableColumn id="5" xr3:uid="{1BAFE817-B264-4C24-B0B6-F09A677CE94B}" name="Worked on? (Yes/No) "/>
    <tableColumn id="6" xr3:uid="{F4BC356B-F235-4F49-9061-42E23A17AD53}" name="Will work on?"/>
    <tableColumn id="7" xr3:uid="{A7D536C2-A58A-4E04-9DB0-9DAB5F45EEC2}" name="Will work on? (Yes/No)"/>
    <tableColumn id="8" xr3:uid="{D83ACBFF-19B1-4B90-B9AA-5CCD777D843A}" name="Evidence/Comments?"/>
    <tableColumn id="9" xr3:uid="{B851C01C-6732-40E8-AC47-6ED5E00CEAF9}" name="Department Stakeholder?" dataDxfId="355"/>
    <tableColumn id="10" xr3:uid="{C6624051-2DDB-4218-8C23-E97BB98C7F98}" name="Supporting URLS" dataDxfId="354"/>
    <tableColumn id="11" xr3:uid="{30864601-B621-48EB-87F0-F45A380A9DD6}" name="2021 Status" dataDxfId="353"/>
    <tableColumn id="12" xr3:uid="{5CCD6A4B-BCB2-4983-83B7-919688F36FED}" name="2021 Evidence" dataDxfId="352"/>
  </tableColumns>
  <tableStyleInfo name="TableStyleMedium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D4AFFAA-3A6F-4D56-ACAA-C067DD7461D9}" name="Table2682024" displayName="Table2682024" ref="A22:E24" totalsRowShown="0">
  <autoFilter ref="A22:E24" xr:uid="{3D4AFFAA-3A6F-4D56-ACAA-C067DD7461D9}"/>
  <tableColumns count="5">
    <tableColumn id="1" xr3:uid="{7FE9EB24-F824-43F0-BD0B-2A909B4CB1EE}" name="Goal" dataDxfId="351"/>
    <tableColumn id="2" xr3:uid="{B321F8A6-AAD1-4629-97BC-D5FA5F945590}" name="Goal Status"/>
    <tableColumn id="3" xr3:uid="{3CFF6ECB-05CD-425C-94E1-B463DD38CA7C}" name="Key Accomplishements"/>
    <tableColumn id="4" xr3:uid="{11E03D0A-DBB2-48E7-B40E-4CBF9E407765}" name="Key Plans"/>
    <tableColumn id="5" xr3:uid="{DDB714B2-8E31-40A4-9B60-5A92E0426595}" name="Comments" dataDxfId="350"/>
  </tableColumns>
  <tableStyleInfo name="TableStyleMedium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5FC5EF0-C6E4-4FF6-A77A-0D53E04DD0C8}" name="_im04" displayName="_im04" ref="A26:L37" totalsRowShown="0">
  <autoFilter ref="A26:L37" xr:uid="{85FC5EF0-C6E4-4FF6-A77A-0D53E04DD0C8}"/>
  <tableColumns count="12">
    <tableColumn id="1" xr3:uid="{C7CF7B43-E224-4934-A2BE-50D52255423F}" name="Goal #" dataDxfId="349"/>
    <tableColumn id="2" xr3:uid="{EABC1503-DFE8-438F-8713-A3238BFB2945}" name="Success Indicator" dataDxfId="348"/>
    <tableColumn id="3" xr3:uid="{22423C7F-6179-4B7B-BCDC-8D4BCF2A8250}" name="Status" dataDxfId="347"/>
    <tableColumn id="4" xr3:uid="{BC3131F6-C206-4066-9FAB-F8259CF822A5}" name="Year Started "/>
    <tableColumn id="5" xr3:uid="{C43BBEA1-BD5C-427E-ABCA-FEE7841794EF}" name="Worked on? (Yes/No) "/>
    <tableColumn id="6" xr3:uid="{253AB257-8FC6-4AAC-9388-C8B1CA1A2F8B}" name="Will work on?"/>
    <tableColumn id="7" xr3:uid="{225975EF-FAD3-414F-BCE5-AD717CB98116}" name="Will work on? (Yes/No)"/>
    <tableColumn id="8" xr3:uid="{E4BE4F39-7F89-4A11-899F-9D9F9E826495}" name="Evidence/Comments?" dataDxfId="346"/>
    <tableColumn id="9" xr3:uid="{9CA5CE5F-A83F-4D58-A7F5-DEA1994488D0}" name="Department Stakeholder?" dataDxfId="345"/>
    <tableColumn id="10" xr3:uid="{F241DDED-8F3D-42E9-8253-4F8F99D3746B}" name="Supporting URLS" dataDxfId="344"/>
    <tableColumn id="11" xr3:uid="{8E532B68-2E9E-4795-B015-2A342B979BF1}" name="2021 Status" dataDxfId="343"/>
    <tableColumn id="12" xr3:uid="{51C8D5AE-C497-4AA3-8FEF-99A9FA2461D1}" name="2021 Evidence" dataDxfId="342"/>
  </tableColumns>
  <tableStyleInfo name="TableStyleMedium6"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50403A01-54FE-4777-8E41-5335D2BAC43B}" name="Table268202426" displayName="Table268202426" ref="A41:E43" totalsRowShown="0">
  <autoFilter ref="A41:E43" xr:uid="{50403A01-54FE-4777-8E41-5335D2BAC43B}"/>
  <tableColumns count="5">
    <tableColumn id="1" xr3:uid="{CDA57C7E-0362-40AF-9684-47E0850C57C2}" name="Goal" dataDxfId="341"/>
    <tableColumn id="2" xr3:uid="{208AEDFE-4A7A-46AF-9455-C868E21D970C}" name="Goal Status"/>
    <tableColumn id="3" xr3:uid="{08683AE7-1BE2-44BE-A619-A9B688D92B19}" name="Key Accomplishements"/>
    <tableColumn id="4" xr3:uid="{874A51CF-2043-4D3B-80DA-68D13B2FD369}" name="Key Plans"/>
    <tableColumn id="5" xr3:uid="{789F0473-31E7-4A80-AC66-201815849758}" name="Comments" dataDxfId="340"/>
  </tableColumns>
  <tableStyleInfo name="TableStyleMedium6"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0D10F25-7C41-4128-AFCC-E6DEAB35A69D}" name="_im05" displayName="_im05" ref="A45:L52" totalsRowShown="0">
  <autoFilter ref="A45:L52" xr:uid="{60D10F25-7C41-4128-AFCC-E6DEAB35A69D}"/>
  <tableColumns count="12">
    <tableColumn id="1" xr3:uid="{1C96B67C-9528-4E13-968C-94FF8A42F758}" name="Goal #" dataDxfId="339"/>
    <tableColumn id="2" xr3:uid="{D79E079E-2382-4910-8589-756C2EAB920D}" name="Success Indicator" dataDxfId="338"/>
    <tableColumn id="3" xr3:uid="{4B864094-6481-4585-85C5-8EB9A233123D}" name="Status"/>
    <tableColumn id="4" xr3:uid="{7134694B-6B1B-409C-93D7-18D1B5E1BCF2}" name="Year Started "/>
    <tableColumn id="5" xr3:uid="{071B9B80-C3E2-458F-BE8F-D13C96F71521}" name="Worked on? (Yes/No) "/>
    <tableColumn id="6" xr3:uid="{1509E9B3-E032-4944-B32E-A75ECD318DAC}" name="Will work on?"/>
    <tableColumn id="7" xr3:uid="{746C1ABD-AFC1-4933-90FE-40A0996904F5}" name="Will work on? (Yes/No)"/>
    <tableColumn id="8" xr3:uid="{509D8806-47F8-4DDD-B8DE-95B9623E1AA1}" name="Evidence/Comments?"/>
    <tableColumn id="9" xr3:uid="{2C65A974-7203-404C-808A-8D3B6B294E56}" name="Department Stakeholder?"/>
    <tableColumn id="10" xr3:uid="{5C150994-D7FD-48DD-A8BC-F61C7F023C3F}" name="Supporting URLS"/>
    <tableColumn id="11" xr3:uid="{4CF78A84-0CC7-4CB2-B96E-D906F30141D8}" name="2021 Status" dataDxfId="337"/>
    <tableColumn id="12" xr3:uid="{399B59C0-7AF6-4C8E-98B6-E5714CF80FCB}" name="2021 Evidence" dataDxfId="336"/>
  </tableColumns>
  <tableStyleInfo name="TableStyleMedium6"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C3157EA-2882-42AA-ADD8-7A8299904F4B}" name="Table26820242628" displayName="Table26820242628" ref="A56:E58" totalsRowShown="0">
  <autoFilter ref="A56:E58" xr:uid="{CC3157EA-2882-42AA-ADD8-7A8299904F4B}"/>
  <tableColumns count="5">
    <tableColumn id="1" xr3:uid="{58D3F629-D964-43F7-BADB-715AFBC283C9}" name="Goal" dataDxfId="335"/>
    <tableColumn id="2" xr3:uid="{C68AFA97-E084-4B79-A119-39C004BC147E}" name="Goal Status"/>
    <tableColumn id="3" xr3:uid="{67E36EB1-A600-44B2-B835-4C72632872AA}" name="Key Accomplishements"/>
    <tableColumn id="4" xr3:uid="{33E48551-8A73-4C60-BAA2-4416F3A039C3}" name="Key Plans"/>
    <tableColumn id="5" xr3:uid="{96E6A3C1-7BE1-41FA-9FB4-13A9361D8364}" name="Comments" dataDxfId="334"/>
  </tableColumns>
  <tableStyleInfo name="TableStyleMedium6"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86DA3E7-6089-4673-B371-F2687E77DD83}" name="_im06" displayName="_im06" ref="A60:L69" totalsRowShown="0">
  <autoFilter ref="A60:L69" xr:uid="{286DA3E7-6089-4673-B371-F2687E77DD83}"/>
  <tableColumns count="12">
    <tableColumn id="1" xr3:uid="{0037E12F-9FC0-470D-AD21-EFBFBD56CA40}" name="Goal #" dataDxfId="333"/>
    <tableColumn id="2" xr3:uid="{E5E260D8-1132-498F-91D8-D83AF3D1B62C}" name="Success Indicator"/>
    <tableColumn id="3" xr3:uid="{E7FB1EDF-003D-4AC4-AA93-7A3868C3D10D}" name="Status" dataDxfId="332"/>
    <tableColumn id="4" xr3:uid="{C080B69B-9921-42DF-8393-2E4C1B846F7E}" name="Year Started "/>
    <tableColumn id="5" xr3:uid="{F2B56271-7BC1-40A2-A7DF-A4E7520792F6}" name="Worked on? (Yes/No) "/>
    <tableColumn id="6" xr3:uid="{88B17BCA-F8F5-4551-8AE3-52B7B50B1498}" name="Will work on?"/>
    <tableColumn id="7" xr3:uid="{3D4DB8D5-029D-44FE-A08A-A5254D33645D}" name="Will work on? (Yes/No)"/>
    <tableColumn id="8" xr3:uid="{14EC49DA-9BE1-4D3D-B026-D4696BAECF4A}" name="Evidence/Comments?"/>
    <tableColumn id="9" xr3:uid="{2E90C2E5-83C4-46DA-8EF3-92AA1AB08073}" name="Department Stakeholder?" dataDxfId="331"/>
    <tableColumn id="10" xr3:uid="{5B91F4FA-8D91-47CC-9425-6F7FD960649F}" name="Supporting URLS"/>
    <tableColumn id="11" xr3:uid="{02F8C32F-11CE-49B1-A626-3544C8E17F4E}" name="2021 Status" dataDxfId="330"/>
    <tableColumn id="12" xr3:uid="{9B3D7742-F612-472F-B649-83B776F7BB67}" name="2021 Evidence" dataDxfId="329"/>
  </tableColumns>
  <tableStyleInfo name="TableStyleMedium6"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805E06D-E3F1-4B14-9449-3D4E66FCED05}" name="Table2682024262830" displayName="Table2682024262830" ref="A72:E74" totalsRowShown="0">
  <autoFilter ref="A72:E74" xr:uid="{F805E06D-E3F1-4B14-9449-3D4E66FCED05}"/>
  <tableColumns count="5">
    <tableColumn id="1" xr3:uid="{1E69D906-9845-4D91-BE44-435D405CA741}" name="Goal" dataDxfId="328"/>
    <tableColumn id="2" xr3:uid="{D00F05BA-08F6-4F4C-84B0-693EF0D38936}" name="Goal Status"/>
    <tableColumn id="3" xr3:uid="{2C5342FD-9929-4559-A317-4447A5EAB464}" name="Key Accomplishements"/>
    <tableColumn id="4" xr3:uid="{BDE9430F-2398-4B1E-BAD5-151BB33FBF33}" name="Key Plans"/>
    <tableColumn id="5" xr3:uid="{D7FAF35F-33FB-45F6-A7A5-9642A86BCFFE}" name="Comments" dataDxfId="327"/>
  </tableColumns>
  <tableStyleInfo name="TableStyleMedium6"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9FCBD19-2662-44A2-857A-D1787FB8C49C}" name="_im07" displayName="_im07" ref="A76:L87" totalsRowShown="0">
  <autoFilter ref="A76:L87" xr:uid="{E9FCBD19-2662-44A2-857A-D1787FB8C49C}"/>
  <tableColumns count="12">
    <tableColumn id="1" xr3:uid="{C70526F5-A4D8-4050-9126-16D31C6236E5}" name="Goal #" dataDxfId="326"/>
    <tableColumn id="2" xr3:uid="{8F198178-DAE8-4BB6-BEFB-DB742B8922EA}" name="Success Indicator" dataDxfId="325"/>
    <tableColumn id="3" xr3:uid="{052FDF1F-73ED-4597-8C6C-91CA6F1D1E1E}" name="Status"/>
    <tableColumn id="4" xr3:uid="{2F50D35C-DF24-490C-8276-142E03481010}" name="Year Started "/>
    <tableColumn id="5" xr3:uid="{14FE1C7C-42B6-4E5B-B2B5-8257E446E9BF}" name="Worked on? (Yes/No) "/>
    <tableColumn id="6" xr3:uid="{EEC21A02-4CE8-484F-8CF8-B3D015074213}" name="Will work on?"/>
    <tableColumn id="7" xr3:uid="{ACA34D32-5841-4A8D-8AD0-71439770D026}" name="Will work on? (Yes/No)"/>
    <tableColumn id="8" xr3:uid="{6F01652D-C72E-4E58-B353-053B110AB4AE}" name="Evidence/Comments?"/>
    <tableColumn id="9" xr3:uid="{CB29F3E5-C549-4A5E-A6D3-459B4C54C620}" name="Department Stakeholder?" dataDxfId="324"/>
    <tableColumn id="10" xr3:uid="{F315A8C6-9AE8-4A3F-9E0E-091383C13519}" name="Supporting URLS" dataDxfId="323"/>
    <tableColumn id="11" xr3:uid="{7A5F8ACF-AD52-487D-9D88-446EAB7198B5}" name="2021 Status" dataDxfId="322"/>
    <tableColumn id="12" xr3:uid="{8A546461-0AA3-4E10-B06D-43BC6A0EE487}" name="2021 Evidence" dataDxfId="321"/>
  </tableColumns>
  <tableStyleInfo name="TableStyleMedium6"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474B19A-559E-4045-A9F8-BAAEA05EC505}" name="Table268202426283032" displayName="Table268202426283032" ref="A91:E93" totalsRowShown="0">
  <autoFilter ref="A91:E93" xr:uid="{C474B19A-559E-4045-A9F8-BAAEA05EC505}"/>
  <tableColumns count="5">
    <tableColumn id="1" xr3:uid="{20DDEDC4-2330-46D6-91AF-F89771EE3BAA}" name="Goal"/>
    <tableColumn id="2" xr3:uid="{AF8A1D6A-060B-4D0C-8275-5081630ECDDA}" name="Goal Status"/>
    <tableColumn id="3" xr3:uid="{12EED6C3-C7E1-41C3-A61E-247519D0ECCD}" name="Key Accomplishements"/>
    <tableColumn id="4" xr3:uid="{923FC928-D044-45AB-965B-49E60AB9ACC0}" name="Key Plans"/>
    <tableColumn id="5" xr3:uid="{EA7E3124-91FB-4361-BBC2-417C5D204FA8}" name="Comments"/>
  </tableColumns>
  <tableStyleInfo name="TableStyleMedium6"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6B4D30-AFC6-4908-8B7F-133F1E3343DF}" name="_im08" displayName="_im08" ref="A95:L109" totalsRowShown="0">
  <autoFilter ref="A95:L109" xr:uid="{1D6B4D30-AFC6-4908-8B7F-133F1E3343DF}"/>
  <tableColumns count="12">
    <tableColumn id="1" xr3:uid="{FD2D5E54-17C1-43E7-82D6-B9F52B62B6BE}" name="Goal #" dataDxfId="320"/>
    <tableColumn id="2" xr3:uid="{AC184D61-5ED9-4046-8875-C8E981DD2E94}" name="Success Indicator" dataDxfId="319"/>
    <tableColumn id="3" xr3:uid="{F5EB1E6E-0DDD-40BD-8496-D55F10F86371}" name="Status"/>
    <tableColumn id="4" xr3:uid="{B56E6D2D-5D96-4B55-A2F8-386E25CF4E81}" name="Year Started "/>
    <tableColumn id="5" xr3:uid="{0059F06F-16EA-4217-8141-78D45A88F7A2}" name="Worked on? (Yes/No) "/>
    <tableColumn id="6" xr3:uid="{74ABB71F-A09D-43CE-AE4E-B89CA13B5913}" name="Will work on?"/>
    <tableColumn id="7" xr3:uid="{C7D7926F-2C41-4928-AA05-65043FE61AD1}" name="Will work on? (Yes/No)"/>
    <tableColumn id="8" xr3:uid="{6204C293-1835-448C-9086-1A7AEFFD8EAE}" name="Evidence/Comments?"/>
    <tableColumn id="9" xr3:uid="{6821ACC2-7EB1-4E77-957C-E8169C9F543F}" name="Department Stakeholder?" dataDxfId="318"/>
    <tableColumn id="10" xr3:uid="{779CA100-E138-4676-8FF7-917D805164CF}" name="Supporting URLS"/>
    <tableColumn id="11" xr3:uid="{756883BE-D21E-4BEB-B499-C92E8ABB0FCE}" name="2021 Status" dataDxfId="317"/>
    <tableColumn id="12" xr3:uid="{E48D96AF-F93E-436B-88F0-0320E4A94160}" name="2021 Evidence" dataDxfId="316"/>
  </tableColumns>
  <tableStyleInfo name="TableStyleMedium6"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7498591-4F7E-4263-8A47-09A268524693}" name="Table26820242628303236" displayName="Table26820242628303236" ref="A114:E116" totalsRowShown="0">
  <autoFilter ref="A114:E116" xr:uid="{07498591-4F7E-4263-8A47-09A268524693}"/>
  <tableColumns count="5">
    <tableColumn id="1" xr3:uid="{7BBC075E-D78E-40EA-A1B5-56992D24655D}" name="Goal"/>
    <tableColumn id="2" xr3:uid="{50F51A36-2F3C-4397-8327-AE7DC485C316}" name="Goal Status"/>
    <tableColumn id="3" xr3:uid="{38205E6F-E571-4D08-AAA7-B19FEAAA0A6A}" name="Key Accomplishements"/>
    <tableColumn id="4" xr3:uid="{AF924F72-CA56-4865-AB0C-EA9FA56CF141}" name="Key Plans"/>
    <tableColumn id="5" xr3:uid="{1FEC9E5A-227A-4CE4-A2AD-345BD2CBE003}" name="Comments"/>
  </tableColumns>
  <tableStyleInfo name="TableStyleMedium6"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0EA90B2-5D30-4493-A17B-732D3101EBD5}" name="_im09" displayName="_im09" ref="A118:L122" totalsRowShown="0">
  <autoFilter ref="A118:L122" xr:uid="{C0EA90B2-5D30-4493-A17B-732D3101EBD5}"/>
  <tableColumns count="12">
    <tableColumn id="1" xr3:uid="{2CF170A3-EEFE-49CF-8C94-AA7A7C16D613}" name="Goal #" dataDxfId="315"/>
    <tableColumn id="2" xr3:uid="{49387F49-CFD4-4068-8699-3AE81035D614}" name="Success Indicator" dataDxfId="314"/>
    <tableColumn id="3" xr3:uid="{3BA3AFBF-155B-494C-B7A2-250BAA85F119}" name="Status"/>
    <tableColumn id="4" xr3:uid="{CD8A5CB3-3F1A-4CA4-A50C-9DCB99E4DAD7}" name="Year Started "/>
    <tableColumn id="5" xr3:uid="{3D61E355-BB0A-4A61-A3C8-1C8ED4DB7CF9}" name="Worked on? (Yes/No) "/>
    <tableColumn id="6" xr3:uid="{A7B8B3E8-A99E-46BE-85EE-C9CC97706A4C}" name="Will work on?"/>
    <tableColumn id="7" xr3:uid="{9842A222-00CE-43B8-8545-F2723A4F0EE3}" name="Will work on? (Yes/No)"/>
    <tableColumn id="8" xr3:uid="{018B9217-A624-4910-9729-D118F24A8853}" name="Evidence/Comments?"/>
    <tableColumn id="9" xr3:uid="{AB9DF524-95D2-4CC5-A247-8311CE262A5A}" name="Department Stakeholder?"/>
    <tableColumn id="10" xr3:uid="{70C0A3D3-83BC-4265-8E90-7CCD0E3E0331}" name="Supporting URLS"/>
    <tableColumn id="11" xr3:uid="{71549A1F-A6DB-4A52-8A5A-9B5B2C822015}" name="2021 Status"/>
    <tableColumn id="12" xr3:uid="{7EF115FA-BBFE-4A84-A3AA-D2B37A024991}" name="2021 Evidence" dataDxfId="313"/>
  </tableColumns>
  <tableStyleInfo name="TableStyleMedium6"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1DFC4B-2FDF-4A67-B837-36B491E34815}" name="Table2" displayName="Table2" ref="A5:E7" totalsRowShown="0" headerRowDxfId="312" dataDxfId="311">
  <autoFilter ref="A5:E7" xr:uid="{621DFC4B-2FDF-4A67-B837-36B491E34815}"/>
  <tableColumns count="5">
    <tableColumn id="1" xr3:uid="{823DCFE9-AEC4-4C2F-96AA-C09C42182E69}" name="Goal" dataDxfId="310"/>
    <tableColumn id="2" xr3:uid="{507E22C1-B02A-45B8-9FF0-655BC52D4619}" name="Goal Status" dataDxfId="309"/>
    <tableColumn id="3" xr3:uid="{308779AE-2207-422D-8EC3-70971F780B44}" name="Key Accomplishements" dataDxfId="308"/>
    <tableColumn id="4" xr3:uid="{2A82749A-23EE-4E8B-BC82-18BC69086E2A}" name="Key Plans" dataDxfId="307"/>
    <tableColumn id="5" xr3:uid="{90B351A5-4494-4503-9806-19683599F7F0}" name="Comments" dataDxfId="306"/>
  </tableColumns>
  <tableStyleInfo name="TableStyleMedium6"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A455438-1C49-4E0D-8DB4-9AAB45374356}" name="_web01" displayName="_web01" ref="A9:L28" totalsRowShown="0" headerRowDxfId="305" dataDxfId="304">
  <autoFilter ref="A9:L28" xr:uid="{9A455438-1C49-4E0D-8DB4-9AAB45374356}"/>
  <tableColumns count="12">
    <tableColumn id="1" xr3:uid="{17DFFD16-3C33-403B-B46F-35CA47F0294A}" name="Goal #" dataDxfId="303"/>
    <tableColumn id="2" xr3:uid="{D50E7630-5688-40D8-AB58-D3A61881BA8B}" name="Success Indicator" dataDxfId="302"/>
    <tableColumn id="3" xr3:uid="{D29D99E9-4A64-48BB-AE68-DA25F8273BF1}" name="Status" dataDxfId="301"/>
    <tableColumn id="4" xr3:uid="{6CBABE16-57C5-4528-BCB8-634994BFA580}" name="Year Started " dataDxfId="300"/>
    <tableColumn id="5" xr3:uid="{C268A9A2-D0C7-4DB0-B743-421F7AF7C486}" name="Worked on? (Yes/No) " dataDxfId="299"/>
    <tableColumn id="6" xr3:uid="{2F7F1224-33D9-4199-82B6-0413A4216021}" name="Will work on?" dataDxfId="298"/>
    <tableColumn id="7" xr3:uid="{B61AC55A-BED9-49D5-AE30-75E197CF7B3C}" name="Will work on? (Yes/No)" dataDxfId="297"/>
    <tableColumn id="8" xr3:uid="{9B4009A8-DC52-4A61-83FD-65B7F258F033}" name="Evidence/Comments?" dataDxfId="296"/>
    <tableColumn id="9" xr3:uid="{47957E5B-0591-49B5-970E-D83BEF73FCA8}" name="Department Stakeholder?" dataDxfId="295"/>
    <tableColumn id="10" xr3:uid="{28A6F2B4-C891-42BB-B221-A69ED9A0BB75}" name="Supporting URLs" dataDxfId="294"/>
    <tableColumn id="11" xr3:uid="{F92B417B-9C0D-4AED-BE63-7E8FF34622DC}" name="2021 Status" dataDxfId="293"/>
    <tableColumn id="12" xr3:uid="{77BCD874-84D5-4225-B927-68E7F6E4DD89}" name="2021 Evidence" dataDxfId="292"/>
  </tableColumns>
  <tableStyleInfo name="TableStyleMedium6"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8FFD12D-18D8-4F45-882A-80B223C38730}" name="Table26" displayName="Table26" ref="A32:E34" totalsRowShown="0" headerRowDxfId="291" dataDxfId="290">
  <autoFilter ref="A32:E34" xr:uid="{98FFD12D-18D8-4F45-882A-80B223C38730}"/>
  <tableColumns count="5">
    <tableColumn id="1" xr3:uid="{6FED795F-701C-4E00-A0CB-EE1550FB0185}" name="Goal" dataDxfId="289"/>
    <tableColumn id="2" xr3:uid="{FC7B1A6B-87BA-486F-B167-974D3DFFBCE8}" name="Goal Status" dataDxfId="288"/>
    <tableColumn id="3" xr3:uid="{C370DD67-39A7-459B-B04D-8D46F378FE47}" name="Key Accomplishements" dataDxfId="287"/>
    <tableColumn id="4" xr3:uid="{1E6D93D7-E35B-4996-B517-1ABEA573A8B8}" name="Key Plans" dataDxfId="286"/>
    <tableColumn id="5" xr3:uid="{6ED94DAE-4D40-4AE6-81FC-35F9D64FA419}" name="Comments" dataDxfId="285"/>
  </tableColumns>
  <tableStyleInfo name="TableStyleMedium6"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301C01A-839C-4447-84CC-B4EDC6EC5EE6}" name="_web02" displayName="_web02" ref="A39:L48" totalsRowShown="0" headerRowDxfId="284" dataDxfId="283">
  <autoFilter ref="A39:L48" xr:uid="{8301C01A-839C-4447-84CC-B4EDC6EC5EE6}"/>
  <tableColumns count="12">
    <tableColumn id="1" xr3:uid="{DAC81907-BEED-40CA-B105-DC959FBA7A64}" name="Goal #" dataDxfId="282"/>
    <tableColumn id="2" xr3:uid="{95AC932F-3CFD-4F92-ACA7-658369766F35}" name="Success Indicator" dataDxfId="281"/>
    <tableColumn id="3" xr3:uid="{B1D9773E-82AF-44D4-A834-6B12593AC3A8}" name="Status" dataDxfId="280"/>
    <tableColumn id="4" xr3:uid="{D457368E-4FF4-468B-954C-2DED8A623A78}" name="Year Started " dataDxfId="279"/>
    <tableColumn id="5" xr3:uid="{BAC9561A-0FB9-4207-B932-96B439130286}" name="Worked on? (Yes/No) " dataDxfId="278"/>
    <tableColumn id="6" xr3:uid="{4602F469-0F71-4573-95C6-AEE0B5BE35FC}" name="Will work on?" dataDxfId="277"/>
    <tableColumn id="7" xr3:uid="{19E047D1-8CE5-408F-BE86-86CE794412F0}" name="Will work on? (Yes/No)" dataDxfId="276"/>
    <tableColumn id="8" xr3:uid="{36239D9F-A256-49E5-9080-E1427D4574B1}" name="Evidence/Comments?" dataDxfId="275"/>
    <tableColumn id="9" xr3:uid="{DF9FD071-F11C-45D0-80E0-D4F0B03E6024}" name="Department Stakeholder?" dataDxfId="274"/>
    <tableColumn id="10" xr3:uid="{09B35C3C-7747-4564-B091-632ADD157DFE}" name="Supporting URLS" dataDxfId="273"/>
    <tableColumn id="11" xr3:uid="{57AC70A4-FD4E-4A1B-B193-1AEB3692B2CE}" name="2021 Status" dataDxfId="272"/>
    <tableColumn id="12" xr3:uid="{30D4FFC5-1B33-45C5-BC58-077E5A7BCBC7}" name="2021 Evidence" dataDxfId="271"/>
  </tableColumns>
  <tableStyleInfo name="TableStyleMedium6"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3D9CE1-1A73-4C88-83DE-B77184090544}" name="Table268" displayName="Table268" ref="A52:E54" totalsRowShown="0" headerRowDxfId="270" dataDxfId="269">
  <autoFilter ref="A52:E54" xr:uid="{793D9CE1-1A73-4C88-83DE-B77184090544}"/>
  <tableColumns count="5">
    <tableColumn id="1" xr3:uid="{61B025BB-8B75-4FAE-BD15-C12E06B063B5}" name="Goal" dataDxfId="268"/>
    <tableColumn id="2" xr3:uid="{C4090C4B-F23B-4DEE-AA92-12FDEB6AF8C4}" name="Goal Status" dataDxfId="267"/>
    <tableColumn id="3" xr3:uid="{2D94F57E-9D2F-4423-975B-ACE5EFD34F3B}" name="Key Accomplishements" dataDxfId="266"/>
    <tableColumn id="4" xr3:uid="{7C89EE18-6E0B-45EC-9B00-260EF59281A7}" name="Key Plans" dataDxfId="265"/>
    <tableColumn id="5" xr3:uid="{21E0F026-50C4-4115-A2BE-D510D0142EDB}" name="Comments" dataDxfId="264"/>
  </tableColumns>
  <tableStyleInfo name="TableStyleMedium6"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447A403-F1C0-414E-9268-E0ED4ED467A5}" name="_web03" displayName="_web03" ref="A59:L70" totalsRowShown="0" headerRowDxfId="263" dataDxfId="262">
  <autoFilter ref="A59:L70" xr:uid="{1447A403-F1C0-414E-9268-E0ED4ED467A5}"/>
  <tableColumns count="12">
    <tableColumn id="1" xr3:uid="{1D7D70A7-484B-4A31-BF24-445F5BBF9428}" name="Goal #" dataDxfId="261"/>
    <tableColumn id="2" xr3:uid="{5EE34987-9C6E-4D38-B2BD-9A6336CBA312}" name="Success Indicator" dataDxfId="260"/>
    <tableColumn id="3" xr3:uid="{3B5B07DC-D72C-4C67-B387-EE0CF9054087}" name="Status" dataDxfId="259"/>
    <tableColumn id="4" xr3:uid="{749AAAF8-1B6F-4DC7-9704-72A70E9E5619}" name="Year Started " dataDxfId="258"/>
    <tableColumn id="5" xr3:uid="{446F60E2-509F-4657-A0A3-CB28362ECFBE}" name="Worked on? (Yes/No) " dataDxfId="257"/>
    <tableColumn id="6" xr3:uid="{D8AE28C5-7621-4D4F-B1EC-84F289DBFFC0}" name="Will work on?" dataDxfId="256"/>
    <tableColumn id="7" xr3:uid="{CACE487A-B241-44BB-8F2A-B4C0142BD27A}" name="Will work on? (Yes/No)" dataDxfId="255"/>
    <tableColumn id="8" xr3:uid="{BE3E5247-6D44-40F2-A067-7F11DCE8E817}" name="Evidence/Comments?" dataDxfId="254"/>
    <tableColumn id="9" xr3:uid="{32994765-AB66-452B-AAC6-DB76D842EFC7}" name="Department Stakeholder?" dataDxfId="253"/>
    <tableColumn id="10" xr3:uid="{188C5037-12A1-4B85-84EB-6C29F1734AA0}" name="Supporting URLS" dataDxfId="252"/>
    <tableColumn id="11" xr3:uid="{21D157CA-EEEE-44FC-B2A6-6098F37424E0}" name="2021 Status" dataDxfId="251"/>
    <tableColumn id="12" xr3:uid="{C68338DA-BD3E-419F-AC91-01C9ED550E32}" name="2021 Evidence" dataDxfId="250"/>
  </tableColumns>
  <tableStyleInfo name="TableStyleMedium6"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23C0DE4-6917-4C22-9A24-B4EE91032E76}" name="Table26810" displayName="Table26810" ref="A76:E78" totalsRowShown="0" headerRowDxfId="249" dataDxfId="248">
  <autoFilter ref="A76:E78" xr:uid="{623C0DE4-6917-4C22-9A24-B4EE91032E76}"/>
  <tableColumns count="5">
    <tableColumn id="1" xr3:uid="{0532ECC1-5005-49FC-A97C-3F5BD4E7CEFA}" name="Goal" dataDxfId="247"/>
    <tableColumn id="2" xr3:uid="{186788B3-FCA9-4C2E-B85F-79709347EAE8}" name="Goal Status" dataDxfId="246"/>
    <tableColumn id="3" xr3:uid="{3B0F3C34-4990-4DA4-8D4E-05CD0F9B8886}" name="Key Accomplishements" dataDxfId="245"/>
    <tableColumn id="4" xr3:uid="{EDBC2F9E-EE14-4BF4-AF9E-8A9881C43068}" name="Key Plans" dataDxfId="244"/>
    <tableColumn id="5" xr3:uid="{B50C794D-75F7-49B3-BD6E-338AC2A0D9CE}" name="Comments" dataDxfId="243"/>
  </tableColumns>
  <tableStyleInfo name="TableStyleMedium6"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9FDAE08-3A53-48AF-83F3-CCE497CFF601}" name="_web05" displayName="_web05" ref="A80:L94" totalsRowShown="0" headerRowDxfId="242" dataDxfId="241">
  <autoFilter ref="A80:L94" xr:uid="{39FDAE08-3A53-48AF-83F3-CCE497CFF601}"/>
  <tableColumns count="12">
    <tableColumn id="1" xr3:uid="{08F5A62C-F07E-4ED6-B2B1-E8887D04310D}" name="Goal #" dataDxfId="240"/>
    <tableColumn id="2" xr3:uid="{7862C10C-D709-4F95-8724-C3E9562F0DE7}" name="Success Indicator" dataDxfId="239"/>
    <tableColumn id="3" xr3:uid="{3918C444-C507-445D-A7A0-81B9D4839853}" name="Status" dataDxfId="238"/>
    <tableColumn id="4" xr3:uid="{FD62D2F8-46CC-4DCA-A53E-0F19B24163DF}" name="Year Started " dataDxfId="237"/>
    <tableColumn id="5" xr3:uid="{6F2C8659-F4E0-40F2-9AD5-59B057F0185F}" name="Worked on? (Yes/No) " dataDxfId="236"/>
    <tableColumn id="6" xr3:uid="{7F264F2F-B143-4330-94A0-9173A58454E2}" name="Will work on?" dataDxfId="235"/>
    <tableColumn id="7" xr3:uid="{23110FB0-F932-42CC-853A-743560F26141}" name="Will work on? (Yes/No)" dataDxfId="234"/>
    <tableColumn id="8" xr3:uid="{ADD2B2C0-7002-4990-AC59-50E680BD44AD}" name="Evidence/Comments?" dataDxfId="233"/>
    <tableColumn id="9" xr3:uid="{31F2217A-885D-476E-ABEC-0C52E1B38E38}" name="Department Stakeholder?" dataDxfId="232"/>
    <tableColumn id="10" xr3:uid="{8BD506F4-0D1B-4A86-BD13-5DED75A99B5C}" name="Supporting URLS" dataDxfId="231"/>
    <tableColumn id="11" xr3:uid="{3E87B561-4F7E-469C-9FA0-9DB8B553194D}" name="2021 Status" dataDxfId="230"/>
    <tableColumn id="12" xr3:uid="{41AEF416-1F08-40D5-BEBF-D1782E179C7E}" name="2021 Evidence" dataDxfId="229"/>
  </tableColumns>
  <tableStyleInfo name="TableStyleMedium6"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F773631-2E14-44A6-B847-4B1D0E5A2817}" name="Table26812" displayName="Table26812" ref="A98:E100" totalsRowShown="0" headerRowDxfId="228" dataDxfId="227">
  <autoFilter ref="A98:E100" xr:uid="{BF773631-2E14-44A6-B847-4B1D0E5A2817}"/>
  <tableColumns count="5">
    <tableColumn id="1" xr3:uid="{B475E389-C10D-4CA2-8F9D-BAFF9226DA1A}" name="Goal" dataDxfId="226"/>
    <tableColumn id="2" xr3:uid="{D4FAED31-4007-4DB4-A9D5-34AC4D93A8C8}" name="Goal Status" dataDxfId="225"/>
    <tableColumn id="3" xr3:uid="{A2DF0493-DA4C-4188-A4D5-15145950C8E7}" name="Key Accomplishements" dataDxfId="224"/>
    <tableColumn id="4" xr3:uid="{3B1298AE-FCE1-48C2-A9EF-F9868BC9CD8F}" name="Key Plans" dataDxfId="223"/>
    <tableColumn id="5" xr3:uid="{5F0F3CC5-3EBA-47A0-AB89-7827D68B7C8D}" name="Comments" dataDxfId="222"/>
  </tableColumns>
  <tableStyleInfo name="TableStyleMedium6"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6136DE6-25BD-4043-A6B0-3546B080506E}" name="_web06" displayName="_web06" ref="A102:L110" totalsRowShown="0" headerRowDxfId="221" dataDxfId="220">
  <autoFilter ref="A102:L110" xr:uid="{E6136DE6-25BD-4043-A6B0-3546B080506E}"/>
  <tableColumns count="12">
    <tableColumn id="1" xr3:uid="{14FDE20B-0756-4DED-834C-47D16535FBC8}" name="Goal #" dataDxfId="219"/>
    <tableColumn id="2" xr3:uid="{88D186A1-48F4-4BF4-B57C-7C5256097DD2}" name="Success Indicator" dataDxfId="218"/>
    <tableColumn id="3" xr3:uid="{6F76B3CD-C14F-4CF4-9777-5377ECCEFAE5}" name="Status" dataDxfId="217"/>
    <tableColumn id="4" xr3:uid="{E641A7BB-C118-4452-9381-0E25D478AD24}" name="Year Started " dataDxfId="216"/>
    <tableColumn id="5" xr3:uid="{0E8A33D3-56DB-4FA7-B15B-784455B7A8B6}" name="Worked on? (Yes/No) " dataDxfId="215"/>
    <tableColumn id="6" xr3:uid="{2D7E15DF-C7FD-41A4-8B1C-927D6AB882D3}" name="Will work on?" dataDxfId="214"/>
    <tableColumn id="7" xr3:uid="{D605059D-7D4A-4D2F-9F64-D78BE853EFE9}" name="Will work on? (Yes/No)" dataDxfId="213"/>
    <tableColumn id="8" xr3:uid="{499983B7-6E9A-4B1F-9562-C3CC58F3F813}" name="Evidence/Comments?" dataDxfId="212"/>
    <tableColumn id="9" xr3:uid="{947DA784-33E0-4FFC-BBBD-8017CF9A8E5B}" name="Department Stakeholder?" dataDxfId="211"/>
    <tableColumn id="10" xr3:uid="{3322A135-956A-4095-8075-A36F0D3FFE36}" name="Supporting URLS" dataDxfId="210"/>
    <tableColumn id="11" xr3:uid="{670F4334-87D4-4AE5-8540-5C9B76E2DA12}" name="2021 Status" dataDxfId="209"/>
    <tableColumn id="12" xr3:uid="{04A04B88-4100-4080-8AE9-8413B585E3DD}" name="2021 Evidence" dataDxfId="208"/>
  </tableColumns>
  <tableStyleInfo name="TableStyleMedium6"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FB9AE42-7085-4DAF-97F3-845C18C174C7}" name="Table268121416" displayName="Table268121416" ref="A114:E116" totalsRowShown="0" headerRowDxfId="207" dataDxfId="206">
  <autoFilter ref="A114:E116" xr:uid="{2FB9AE42-7085-4DAF-97F3-845C18C174C7}"/>
  <tableColumns count="5">
    <tableColumn id="1" xr3:uid="{5499305E-3DE5-45F7-B12B-3CB0F6DD9B6C}" name="Goal" dataDxfId="205"/>
    <tableColumn id="2" xr3:uid="{E4B0B34A-6BAF-4B46-B8B5-10E1C6B81E8D}" name="Goal Status" dataDxfId="204"/>
    <tableColumn id="3" xr3:uid="{90B455C6-573F-4358-8023-0E7E8AF0CF75}" name="Key Accomplishements" dataDxfId="203"/>
    <tableColumn id="4" xr3:uid="{A7812E0C-850D-47FD-BCD5-E4C7AC6FB6EA}" name="Key Plans" dataDxfId="202"/>
    <tableColumn id="5" xr3:uid="{1322EF0A-8A85-4F0F-A04D-7DEE8F179639}" name="Comments" dataDxfId="201"/>
  </tableColumns>
  <tableStyleInfo name="TableStyleMedium6"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DFA8B51-4EED-42FA-BE6E-F79A2D3DC775}" name="_web07" displayName="_web07" ref="A118:L124" totalsRowShown="0" headerRowDxfId="200" dataDxfId="199">
  <autoFilter ref="A118:L124" xr:uid="{2DFA8B51-4EED-42FA-BE6E-F79A2D3DC775}"/>
  <tableColumns count="12">
    <tableColumn id="1" xr3:uid="{965A0D10-76AF-4312-A4FD-71DF84A272B4}" name="Goal #" dataDxfId="198"/>
    <tableColumn id="2" xr3:uid="{C5D228C2-473C-4E46-A927-81BA37131C34}" name="Success Indicator" dataDxfId="197"/>
    <tableColumn id="3" xr3:uid="{095CA5B4-FF1F-4075-AE31-9B60533DAF99}" name="Status" dataDxfId="196"/>
    <tableColumn id="4" xr3:uid="{B690429F-7E4D-4C84-AF73-EF989E086BF3}" name="Year Started " dataDxfId="195"/>
    <tableColumn id="5" xr3:uid="{2CCF34C1-C2D5-4E6D-8AF0-DC2124E76E5F}" name="Worked on? (Yes/No) " dataDxfId="194"/>
    <tableColumn id="6" xr3:uid="{D7E4ABC0-7FF9-46B6-A98E-D55527BA70ED}" name="Will work on?" dataDxfId="193"/>
    <tableColumn id="7" xr3:uid="{851D9DE7-567A-4C43-BE10-83C42FD8A5DB}" name="Will work on? (Yes/No)" dataDxfId="192"/>
    <tableColumn id="8" xr3:uid="{50B935CB-CDE6-406B-8074-9DC72C7A5DD1}" name="Evidence/Comments?" dataDxfId="191"/>
    <tableColumn id="9" xr3:uid="{871D9880-DD97-4DCA-8071-10EE366B5D8A}" name="Department Stakeholder?" dataDxfId="190"/>
    <tableColumn id="10" xr3:uid="{5E4B66C6-4017-405D-B259-241947CE738E}" name="Supporting URLS" dataDxfId="189"/>
    <tableColumn id="11" xr3:uid="{3AB2F91A-8D0D-4C93-ABE3-ED022CF627BF}" name="2021 Status" dataDxfId="188"/>
    <tableColumn id="12" xr3:uid="{5809F98F-A71F-41EA-AAD1-785D05FE0770}" name="2021 Evidence" dataDxfId="187"/>
  </tableColumns>
  <tableStyleInfo name="TableStyleMedium6"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931A70-E785-4297-906C-71C29A074B00}" name="stakeholders" displayName="stakeholders" ref="A1:E24" totalsRowShown="0">
  <autoFilter ref="A1:E24" xr:uid="{91931A70-E785-4297-906C-71C29A074B00}"/>
  <tableColumns count="5">
    <tableColumn id="1" xr3:uid="{EA6C290D-61FC-4378-9697-B573596D2B16}" name="Name"/>
    <tableColumn id="2" xr3:uid="{F64E9DF3-1CBB-43EE-8CD1-DAB0DE3FDC44}" name="Title"/>
    <tableColumn id="3" xr3:uid="{5F39C6F8-66FE-4247-947F-80C282746EBD}" name="Department"/>
    <tableColumn id="4" xr3:uid="{9DC4FA62-40B7-4BBD-8C60-74802802AB22}" name="ATI Role"/>
    <tableColumn id="5" xr3:uid="{E38FB751-06F3-42B3-92F1-7E2A1B752B82}" name="Comments"/>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744C297-DF1C-4FD1-83F0-26C30EA69609}" name="Table43" displayName="Table43" ref="A28:F29" totalsRowShown="0">
  <autoFilter ref="A28:F29" xr:uid="{0744C297-DF1C-4FD1-83F0-26C30EA69609}"/>
  <tableColumns count="6">
    <tableColumn id="1" xr3:uid="{F0F82432-DBA6-48CA-9815-8297311DCA3A}" name="Name"/>
    <tableColumn id="2" xr3:uid="{EA60429C-4B7E-4B53-80D3-32EB5719A8B0}" name="Title"/>
    <tableColumn id="3" xr3:uid="{9CFF9377-3C26-47A6-B199-98CE60460DDF}" name="Department"/>
    <tableColumn id="4" xr3:uid="{B0A6699B-B42A-4620-B9F3-260CD893B941}" name="Relationship to ATI"/>
    <tableColumn id="5" xr3:uid="{7B9F53BE-C4C9-427A-9F77-C11D934B7FA2}" name="Comments"/>
    <tableColumn id="6" xr3:uid="{CA93093E-7CAD-4010-98BC-6083D11DDB5B}" name="Email" dataCellStyle="Hyperlink"/>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B297D9CD-F901-4892-A7D7-368D7ACC9D91}" name="_statuses" displayName="_statuses" ref="A1:G7" totalsRowShown="0" dataDxfId="186">
  <autoFilter ref="A1:G7" xr:uid="{B297D9CD-F901-4892-A7D7-368D7ACC9D91}"/>
  <tableColumns count="7">
    <tableColumn id="1" xr3:uid="{EE348FC0-3779-40B0-AC2C-C6ABEC2E33C4}" name="Status Level" dataDxfId="185"/>
    <tableColumn id="2" xr3:uid="{0481CCCE-A4C2-4F7C-8D90-46E5E9CC21BE}" name="Description of Procedures" dataDxfId="184"/>
    <tableColumn id="3" xr3:uid="{FB64F248-6FE1-4EF6-8D58-44978A30011F}" name="Description of Documentation" dataDxfId="183"/>
    <tableColumn id="9" xr3:uid="{4A9655A2-2727-438E-B798-B17EADD85F1D}" name="Description of Documentation Evidence" dataDxfId="182"/>
    <tableColumn id="4" xr3:uid="{8877087E-AEC0-4330-9AB3-F9C44A4F100A}" name="Description of Resources" dataDxfId="181"/>
    <tableColumn id="5" xr3:uid="{1FB19E34-760E-4FDD-A751-616128137C37}" name="ATI Report Evidence Column" dataDxfId="180"/>
    <tableColumn id="10" xr3:uid="{E85100FC-EE82-4F91-8B66-7E0D8DBE06EC}" name="Status Value" dataDxfId="179"/>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018735-CE60-4ACA-A1B5-8251AC988DAD}" name="Table1" displayName="Table1" ref="A32:B34" totalsRowShown="0">
  <autoFilter ref="A32:B34" xr:uid="{68018735-CE60-4ACA-A1B5-8251AC988DAD}"/>
  <tableColumns count="2">
    <tableColumn id="1" xr3:uid="{E1985E1E-D48D-4425-9C10-350866EACD5D}" name="Previous President's Report Documents"/>
    <tableColumn id="2" xr3:uid="{8420121C-B611-435C-BE31-572DB7D34D1B}" name="URL"/>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C6B31DA-B17A-4356-9380-A4A2F0918DE9}" name="Table13" displayName="Table13" ref="A12:C30" totalsRowShown="0">
  <autoFilter ref="A12:C30" xr:uid="{7C6B31DA-B17A-4356-9380-A4A2F0918DE9}"/>
  <tableColumns count="3">
    <tableColumn id="1" xr3:uid="{548A85A7-EFE6-4F83-B19C-2EC5B8E76F8E}" name="Memos / Laws / Executive Orders"/>
    <tableColumn id="2" xr3:uid="{851BC69E-93C2-4FA8-B73F-009BFD4CA111}" name="URL"/>
    <tableColumn id="3" xr3:uid="{3599F8B1-B641-477B-B504-56871785C826}" name="Short Description"/>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2F08AE2-EF04-43C9-AC32-0CD8A8D4A61F}" name="Table17" displayName="Table17" ref="A1:B9" totalsRowShown="0">
  <autoFilter ref="A1:B9" xr:uid="{F2F08AE2-EF04-43C9-AC32-0CD8A8D4A61F}"/>
  <tableColumns count="2">
    <tableColumn id="1" xr3:uid="{EB90DCED-06A8-4AB4-A69F-7D5B90D70F72}" name="ATI Resources"/>
    <tableColumn id="2" xr3:uid="{A9ABE9CB-68FD-43D3-B29F-2589F5037067}" name="URL"/>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D912611A-C764-4C32-8014-84665EC00014}" name="Table45" displayName="Table45" ref="A37:C57" totalsRowShown="0">
  <autoFilter ref="A37:C57" xr:uid="{D912611A-C764-4C32-8014-84665EC00014}"/>
  <tableColumns count="3">
    <tableColumn id="1" xr3:uid="{DB90F4FD-E59F-4102-88A7-3C919F1DFBF7}" name="SF State Process Documents"/>
    <tableColumn id="2" xr3:uid="{E467336F-91C2-4BE8-8147-A07CC62E6391}" name="URL"/>
    <tableColumn id="3" xr3:uid="{869615A4-16F8-4BAD-89D1-C025E85BCC46}" name="Short Descriptio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40A70E-1B24-4B3F-9204-4FA0D4472AC6}" name="Table14" displayName="Table14" ref="A61:C64" totalsRowShown="0">
  <autoFilter ref="A61:C64" xr:uid="{4D40A70E-1B24-4B3F-9204-4FA0D4472AC6}"/>
  <tableColumns count="3">
    <tableColumn id="1" xr3:uid="{4FA88A71-AB72-4E6D-B8ED-48C4C4109324}" name="University Librarian"/>
    <tableColumn id="2" xr3:uid="{07FD2BB2-5495-4277-8A7C-18799CE1991C}" name="URL" dataCellStyle="Hyperlink"/>
    <tableColumn id="3" xr3:uid="{FC66BC4F-5F15-44AB-A4DE-2258BE9E6B2C}" name="Short Descriptio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7442229F-6467-48F9-8253-C92E819D36DC}" name="_im01_gap" displayName="_im01_gap" ref="A5:J8" totalsRowShown="0">
  <autoFilter ref="A5:J8" xr:uid="{7442229F-6467-48F9-8253-C92E819D36DC}">
    <filterColumn colId="2">
      <filters>
        <filter val="Senior Director of Teaching and Learning Programs and Services"/>
      </filters>
    </filterColumn>
  </autoFilter>
  <tableColumns count="10">
    <tableColumn id="1" xr3:uid="{B4AA3F15-0325-46B7-A0A5-454731DB2E0C}" name="Goal #">
      <calculatedColumnFormula array="1">IFERROR(INDEX(_im01[Goal '#], SMALL(IF(_im01[Success Indicator]&lt;&gt; "Removed", ROW(_im01[Goal '#])-ROW(INDEX(_im01[Goal '#],1,1))+1), ROW(1:1))), "")</calculatedColumnFormula>
    </tableColumn>
    <tableColumn id="2" xr3:uid="{AA3D6A10-ABBF-4045-8080-7D944A17B460}" name="Success Indicator" dataDxfId="17">
      <calculatedColumnFormula array="1">IFERROR(INDEX(_im01[Success Indicator], SMALL(IF(_im01[Success Indicator]&lt;&gt; "Removed", ROW(_im01[Success Indicator])-ROW(INDEX(_im01[Success Indicator],1,1))+1), ROW(1:1))), "")</calculatedColumnFormula>
    </tableColumn>
    <tableColumn id="3" xr3:uid="{951B5AB9-B43D-47C5-A81B-EA4A93892ADE}" name="ATI Stakeholder" dataDxfId="16">
      <calculatedColumnFormula array="1">IFERROR(INDEX(_im01[Department Stakeholder?], SMALL(IF(_im01[Success Indicator]&lt;&gt; "Removed", ROW(_im01[Department Stakeholder?])-ROW(INDEX(_im01[Department Stakeholder?],1,1))+1), ROW(1:1))), "")</calculatedColumnFormula>
    </tableColumn>
    <tableColumn id="4" xr3:uid="{394CBE91-FFE0-49D4-9117-BA955E476AC7}" name="2021 Status">
      <calculatedColumnFormula array="1">IFERROR(INDEX(_im01[2021 Status], SMALL(IF(_im01[Success Indicator]&lt;&gt; "Removed", ROW(_im01[2021 Status])-ROW(INDEX(_im01[2021 Status],1,1))+1), ROW(1:1))), "")</calculatedColumnFormula>
    </tableColumn>
    <tableColumn id="8" xr3:uid="{8E89F5B8-806C-4D90-AE8A-C679CCE02BF1}" name="2021 Evidence" dataDxfId="15">
      <calculatedColumnFormula array="1">IFERROR(INDEX(_im01[2021 Evidence], SMALL(IF(_im01[Success Indicator]&lt;&gt; "Removed", ROW(_im01[2021 Evidence])-ROW(INDEX(_im01[2021 Evidence],1,1))+1), ROW(1:1))), "")</calculatedColumnFormula>
    </tableColumn>
    <tableColumn id="11" xr3:uid="{95731F56-171F-4A02-8CEC-62C7E38A5BF8}" name="Review Questions / Instructions" dataDxfId="14"/>
    <tableColumn id="9" xr3:uid="{D2DD8A37-D280-478A-9935-78F3D082E1FC}" name="2023 Status"/>
    <tableColumn id="5" xr3:uid="{A8BE175E-716D-4B13-80CA-417280FFE8A7}" name="2023 Evidence"/>
    <tableColumn id="10" xr3:uid="{2E2995BB-04E4-4694-9135-13E3FEEDEE96}" name="Gap Description / Impact" dataDxfId="13"/>
    <tableColumn id="6" xr3:uid="{39C2EB00-D811-4318-B42A-AF96002AA0B8}" name="Gap" dataDxfId="12">
      <calculatedColumnFormula>IF(ISBLANK(_im01_gap[[#This Row],[2023 Status]]), "2023 Status Empty",
IF(_im01_gap[[#This Row],[2023 Status]] = "Not Started", -5,
IFERROR(
    IF(VLOOKUP(_im01_gap[[#This Row],[2021 Status]], _statuses[Status Level]:_statuses[Status Value], 7, FALSE) &gt; VLOOKUP(_im01_gap[[#This Row],[2023 Status]], _statuses[Status Level]:_statuses[Status Value], 7, FALSE),
    -ABS(VLOOKUP(_im01_gap[[#This Row],[2021 Status]], _statuses[Status Level]:_statuses[Status Value], 7, FALSE) - VLOOKUP(_im01_gap[[#This Row],[2023 Status]], _statuses[Status Level]:_statuses[Status Value], 7, FALSE)),
    ABS(VLOOKUP(_im01_gap[[#This Row],[2021 Status]], _statuses[Status Level]:_statuses[Status Value], 7, FALSE) - VLOOKUP(_im01_gap[[#This Row],[2023 Status]], _statuses[Status Level]:_statuses[Status Value], 7, FALSE))),
"Error in Calculation")
))</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ADC7595-F46A-4D5D-A07C-C62CF48282E7}" name="_im04_gap" displayName="_im04_gap" ref="A13:J17" totalsRowShown="0">
  <autoFilter ref="A13:J17" xr:uid="{BADC7595-F46A-4D5D-A07C-C62CF48282E7}"/>
  <tableColumns count="10">
    <tableColumn id="1" xr3:uid="{1A52A642-3EF5-4BAD-BFC5-661FE4B4D68B}" name="Goal #" dataDxfId="178">
      <calculatedColumnFormula array="1">IFERROR(INDEX(_im04[Goal '#], SMALL(IF(_im04[Success Indicator]&lt;&gt; "Removed", ROW(_im04[Goal '#])-ROW(INDEX(_im04[Goal '#],1,1))+1), ROW(1:1))), "")</calculatedColumnFormula>
    </tableColumn>
    <tableColumn id="2" xr3:uid="{9F7C629C-70DB-4887-A6FF-5AEC34213BEA}" name="Success Indicator" dataDxfId="177">
      <calculatedColumnFormula array="1">IFERROR(INDEX(_im04[Success Indicator], SMALL(IF(_im04[Success Indicator]&lt;&gt; "Removed", ROW(_im04[Success Indicator])-ROW(INDEX(_im04[Success Indicator],1,1))+1), ROW(1:1))), "")</calculatedColumnFormula>
    </tableColumn>
    <tableColumn id="3" xr3:uid="{4DA69436-0E75-4261-B81C-90A7506518C6}" name="ATI Stakeholder" dataDxfId="176">
      <calculatedColumnFormula array="1">INDEX(_im04[Department Stakeholder?], SMALL(IF(_im04[Success Indicator]&lt;&gt; "Removed", ROW(_im04[Department Stakeholder?])-ROW(INDEX(_im04[Department Stakeholder?],1,1))+1), ROW(1:1)))</calculatedColumnFormula>
    </tableColumn>
    <tableColumn id="4" xr3:uid="{181E391A-0555-4497-AF43-51D982A097DE}" name="2021 Status" dataDxfId="175">
      <calculatedColumnFormula array="1">IFERROR(INDEX(_im04[2021 Status], SMALL(IF(_im04[Success Indicator]&lt;&gt; "Removed", ROW(_im04[2021 Status])-ROW(INDEX(_im04[2021 Status],1,1))+1), ROW(1:1))), "")</calculatedColumnFormula>
    </tableColumn>
    <tableColumn id="5" xr3:uid="{6DCF0105-B6A8-4EC2-B3D5-545CB40D7A1A}" name="2021 Evidence" dataDxfId="174">
      <calculatedColumnFormula array="1">IFERROR(INDEX(_im04[2021 Evidence], SMALL(IF(_im04[Success Indicator]&lt;&gt; "Removed", ROW(_im04[2021 Evidence])-ROW(INDEX(_im04[2021 Evidence],1,1))+1), ROW(1:1))), "")</calculatedColumnFormula>
    </tableColumn>
    <tableColumn id="6" xr3:uid="{5C221E00-5220-4F61-A783-A3551E6DDF6D}" name="Review Questions / Instructions" dataDxfId="173"/>
    <tableColumn id="7" xr3:uid="{9757B8B6-BE6D-425C-8FE7-5E4FB13E917F}" name="2023 Status"/>
    <tableColumn id="8" xr3:uid="{370FAE4F-F9D5-464B-8F1C-5F322E68D71B}" name="2023 Evidence"/>
    <tableColumn id="9" xr3:uid="{09FE9251-9328-47C2-B857-00CA900AAEE1}" name="Gap Description / Impact" dataDxfId="172"/>
    <tableColumn id="10" xr3:uid="{E63B70FC-2B99-4153-AE04-2DF765D50ABE}" name="Gap" dataDxfId="171">
      <calculatedColumnFormula>IF(ISBLANK(_im04_gap[[#This Row],[2023 Status]]), "2023 Status Empty",
IF(_im04_gap[[#This Row],[2023 Status]] = "Not Started", -5,
IFERROR(
    IF(VLOOKUP(_im04_gap[[#This Row],[2021 Status]], _statuses[Status Level]:_statuses[Status Value], 7, FALSE) &gt; VLOOKUP(_im04_gap[[#This Row],[2023 Status]], _statuses[Status Level]:_statuses[Status Value], 7, FALSE),
    -ABS(VLOOKUP(_im04_gap[[#This Row],[2021 Status]], _statuses[Status Level]:_statuses[Status Value], 7, FALSE) - VLOOKUP(_im04_gap[[#This Row],[2023 Status]], _statuses[Status Level]:_statuses[Status Value], 7, FALSE)),
    ABS(VLOOKUP(_im04_gap[[#This Row],[2021 Status]], _statuses[Status Level]:_statuses[Status Value], 7, FALSE) - VLOOKUP(_im04_gap[[#This Row],[2023 Status]], _statuses[Status Level]:_statuses[Status Value], 7, FALSE))),
"Error in Calculation")
))</calculatedColumnFormula>
    </tableColumn>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7CCDA3CA-A6DF-4C1D-AB0D-762EA93E0912}" name="_im05_gap" displayName="_im05_gap" ref="A22:J28" totalsRowShown="0">
  <autoFilter ref="A22:J28" xr:uid="{7CCDA3CA-A6DF-4C1D-AB0D-762EA93E0912}"/>
  <tableColumns count="10">
    <tableColumn id="1" xr3:uid="{858752CC-2F30-41EF-BE3E-CCF0906FCEBA}" name="Goal #" dataDxfId="170">
      <calculatedColumnFormula array="1">IFERROR(INDEX(_im05[Goal '#], SMALL(IF(_im05[Success Indicator]&lt;&gt; "Removed", ROW(_im05[Goal '#])-ROW(INDEX(_im05[Goal '#],1,1))+1), ROW(1:1))), "") &amp; ""</calculatedColumnFormula>
    </tableColumn>
    <tableColumn id="2" xr3:uid="{EAE6E0B6-4F68-4B66-B495-74841AF7D053}" name="Success Indicator" dataDxfId="169">
      <calculatedColumnFormula array="1">IFERROR(INDEX(_im05[Success Indicator], SMALL(IF(_im05[Success Indicator]&lt;&gt; "Removed", ROW(_im05[Success Indicator])-ROW(INDEX(_im05[Success Indicator],1,1))+1), ROW(1:1))), "") &amp; ""</calculatedColumnFormula>
    </tableColumn>
    <tableColumn id="3" xr3:uid="{F3D0DDC1-EBA9-44DF-8F6D-73D59FCE0AE9}" name="ATI Stakeholder" dataDxfId="168">
      <calculatedColumnFormula array="1">IFERROR(INDEX(_im05[Department Stakeholder?], SMALL(IF(_im05[Success Indicator]&lt;&gt; "Removed", ROW(_im05[Department Stakeholder?])-ROW(INDEX(_im05[Department Stakeholder?],1,1))+1), ROW(1:1))), "") &amp; ""</calculatedColumnFormula>
    </tableColumn>
    <tableColumn id="4" xr3:uid="{2159F8E0-BDC4-4B4B-8359-9999278FA52B}" name="2021 Status" dataDxfId="167">
      <calculatedColumnFormula array="1">IFERROR(INDEX(_im05[2021 Status], SMALL(IF(_im05[Success Indicator]&lt;&gt; "Removed", ROW(_im05[2021 Status])-ROW(INDEX(_im05[2021 Status],1,1))+1), ROW(1:1))), "") &amp; ""</calculatedColumnFormula>
    </tableColumn>
    <tableColumn id="5" xr3:uid="{B7B8C08F-311C-4701-A0DC-4788C4438A4F}" name="2021 Evidence" dataDxfId="166">
      <calculatedColumnFormula array="1">IFERROR(INDEX(_im05[2021 Evidence], SMALL(IF(_im05[Success Indicator]&lt;&gt; "Removed", ROW(_im05[2021 Evidence])-ROW(INDEX(_im05[2021 Evidence],1,1))+1), ROW(1:1))), "") &amp; ""</calculatedColumnFormula>
    </tableColumn>
    <tableColumn id="6" xr3:uid="{FF1638E7-24A9-4A65-9750-25DB380A5C7F}" name="Review Questions / Instructions" dataDxfId="165"/>
    <tableColumn id="7" xr3:uid="{1E4CAAD0-8E5E-4086-B28A-04BB0DA4711B}" name="2023 Status"/>
    <tableColumn id="8" xr3:uid="{560DD4AB-B4C7-492E-AB65-66BFA62CC2B9}" name="2023 Evidence"/>
    <tableColumn id="9" xr3:uid="{7946F459-BD6B-47C6-B4B8-DA32BB525557}" name="Gap Description / Impact" dataDxfId="164"/>
    <tableColumn id="10" xr3:uid="{4DF96B3A-EDAE-4D27-8547-E0679EABBDE9}" name="Gap" dataDxfId="163">
      <calculatedColumnFormula>IF(ISBLANK(_im05_gap[[#This Row],[2023 Status]]), "2023 Status Empty",
IF(_im05_gap[[#This Row],[2023 Status]] = "Not Started", -5,
IFERROR(
    IF(VLOOKUP(_im05_gap[[#This Row],[2021 Status]], _statuses[Status Level]:_statuses[Status Value], 7, FALSE) &gt; VLOOKUP(_im05_gap[[#This Row],[2023 Status]], _statuses[Status Level]:_statuses[Status Value], 7, FALSE),
    -ABS(VLOOKUP(_im05_gap[[#This Row],[2021 Status]], _statuses[Status Level]:_statuses[Status Value], 7, FALSE) - VLOOKUP(_im05_gap[[#This Row],[2023 Status]], _statuses[Status Level]:_statuses[Status Value], 7, FALSE)),
    ABS(VLOOKUP(_im05_gap[[#This Row],[2021 Status]], _statuses[Status Level]:_statuses[Status Value], 7, FALSE) - VLOOKUP(_im05_gap[[#This Row],[2023 Status]], _statuses[Status Level]:_statuses[Status Value], 7, FALSE))),
"Error in Calculation")
))</calculatedColumnFormula>
    </tableColumn>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717F022C-E11E-4B40-A45D-7F4DB1F1E5C1}" name="_im06_gap" displayName="_im06_gap" ref="A32:J38" totalsRowShown="0">
  <autoFilter ref="A32:J38" xr:uid="{717F022C-E11E-4B40-A45D-7F4DB1F1E5C1}">
    <filterColumn colId="2">
      <filters>
        <filter val="Senior Director of Teaching and Learning Programs and Services"/>
      </filters>
    </filterColumn>
  </autoFilter>
  <tableColumns count="10">
    <tableColumn id="1" xr3:uid="{88152D01-E0E7-428B-A2AB-179AD481878A}" name="Goal #" dataDxfId="162">
      <calculatedColumnFormula array="1">IFERROR(INDEX(_im06[Goal '#], SMALL(IF(_im06[Success Indicator]&lt;&gt; "Removed", ROW(_im06[Goal '#])-ROW(INDEX(_im06[Goal '#],1,1))+1), ROW(1:1))), "") &amp; ""</calculatedColumnFormula>
    </tableColumn>
    <tableColumn id="2" xr3:uid="{EEFF113F-0DB5-49C0-BEC7-3DA8847FB4C7}" name="Success Indicator" dataDxfId="161">
      <calculatedColumnFormula array="1">IFERROR(INDEX(_im06[Success Indicator], SMALL(IF(_im06[Success Indicator]&lt;&gt; "Removed", ROW(_im06[Success Indicator])-ROW(INDEX(_im06[Success Indicator],1,1))+1), ROW(1:1))), "") &amp; ""</calculatedColumnFormula>
    </tableColumn>
    <tableColumn id="3" xr3:uid="{05404D6A-1839-4942-A13D-3607FA6F0D45}" name="ATI Stakeholder" dataDxfId="160">
      <calculatedColumnFormula array="1">IFERROR(INDEX(_im06[Department Stakeholder?], SMALL(IF(_im06[Success Indicator]&lt;&gt; "Removed", ROW(_im06[Department Stakeholder?])-ROW(INDEX(_im06[Department Stakeholder?],1,1))+1), ROW(1:1))), "") &amp; ""</calculatedColumnFormula>
    </tableColumn>
    <tableColumn id="4" xr3:uid="{3EACE210-A04E-4311-AC07-A62AA205F162}" name="2021 Status" dataDxfId="159">
      <calculatedColumnFormula array="1">IFERROR(INDEX(_im06[2021 Status], SMALL(IF(_im06[Success Indicator]&lt;&gt; "Removed", ROW(_im06[2021 Status])-ROW(INDEX(_im06[2021 Status],1,1))+1), ROW(1:1))), "") &amp; ""</calculatedColumnFormula>
    </tableColumn>
    <tableColumn id="5" xr3:uid="{2EE692DD-410E-4B63-977A-93100D9B3EB0}" name="2021 Evidence" dataDxfId="158">
      <calculatedColumnFormula array="1">IFERROR(INDEX(_im06[2021 Evidence], SMALL(IF(_im06[Success Indicator]&lt;&gt; "Removed", ROW(_im06[2021 Evidence])-ROW(INDEX(_im06[2021 Evidence],1,1))+1), ROW(1:1))), "") &amp; ""</calculatedColumnFormula>
    </tableColumn>
    <tableColumn id="6" xr3:uid="{C6364C3F-01D1-4B79-9F6D-9889A052A981}" name="Review Questions / Instructions" dataDxfId="157"/>
    <tableColumn id="7" xr3:uid="{7B6EFA48-2FBD-45CA-BCF8-7D865464205F}" name="2023 Status"/>
    <tableColumn id="8" xr3:uid="{3C9BC114-1842-4132-BEB8-C95B82D39411}" name="2023 Evidence"/>
    <tableColumn id="9" xr3:uid="{5B05B18B-C6AE-4745-92C2-D3BC02335C42}" name="Gap Description / Impact" dataDxfId="156"/>
    <tableColumn id="10" xr3:uid="{2CC82E0D-AB75-4685-AA32-CD5B1A4EC87E}" name="Gap" dataDxfId="155">
      <calculatedColumnFormula>IF(ISBLANK(_im06_gap[[#This Row],[2023 Status]]), "2023 Status Empty",
IF(_im06_gap[[#This Row],[2023 Status]] = "Not Started", -5,
IFERROR(
    IF(VLOOKUP(_im06_gap[[#This Row],[2021 Status]], _statuses[Status Level]:_statuses[Status Value], 7, FALSE) &gt; VLOOKUP(_im06_gap[[#This Row],[2023 Status]], _statuses[Status Level]:_statuses[Status Value], 7, FALSE),
    -ABS(VLOOKUP(_im06_gap[[#This Row],[2021 Status]], _statuses[Status Level]:_statuses[Status Value], 7, FALSE) - VLOOKUP(_im06_gap[[#This Row],[2023 Status]], _statuses[Status Level]:_statuses[Status Value], 7, FALSE)),
    ABS(VLOOKUP(_im06_gap[[#This Row],[2021 Status]], _statuses[Status Level]:_statuses[Status Value], 7, FALSE) - VLOOKUP(_im06_gap[[#This Row],[2023 Status]], _statuses[Status Level]:_statuses[Status Value], 7, FALSE))),
"Error in Calculation")
))</calculatedColumnFormula>
    </tableColumn>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13E0F229-2880-41FD-AD67-05B965261138}" name="_im07_gap" displayName="_im07_gap" ref="A42:J46" totalsRowShown="0">
  <autoFilter ref="A42:J46" xr:uid="{13E0F229-2880-41FD-AD67-05B965261138}"/>
  <tableColumns count="10">
    <tableColumn id="1" xr3:uid="{BFF992C5-D0D1-4175-B8ED-F97F631760D9}" name="Goal #" dataDxfId="154">
      <calculatedColumnFormula array="1">IFERROR(INDEX(_im07[Goal '#], SMALL(IF(_im07[Success Indicator]&lt;&gt; "Removed", ROW(_im07[Goal '#])-ROW(INDEX(_im07[Goal '#],1,1))+1), ROW(1:1))), "") &amp; ""</calculatedColumnFormula>
    </tableColumn>
    <tableColumn id="2" xr3:uid="{338CB6BA-47D5-4407-A3B2-7DA90784B277}" name="Success Indicator" dataDxfId="153">
      <calculatedColumnFormula array="1">IFERROR(INDEX(_im07[Success Indicator], SMALL(IF(_im07[Success Indicator]&lt;&gt; "Removed", ROW(_im07[Success Indicator])-ROW(INDEX(_im07[Success Indicator],1,1))+1), ROW(1:1))), "") &amp; ""</calculatedColumnFormula>
    </tableColumn>
    <tableColumn id="3" xr3:uid="{9EECCEEE-0AE5-416D-A608-CE7C44614D52}" name="ATI Stakeholder" dataDxfId="152">
      <calculatedColumnFormula array="1">IFERROR(INDEX(_im07[Department Stakeholder?], SMALL(IF(_im07[Success Indicator]&lt;&gt; "Removed", ROW(_im07[Department Stakeholder?])-ROW(INDEX(_im07[Department Stakeholder?],1,1))+1), ROW(1:1))), "") &amp; ""</calculatedColumnFormula>
    </tableColumn>
    <tableColumn id="4" xr3:uid="{65152A42-F83B-4A58-BCA3-2F2311795B76}" name="2021 Status" dataDxfId="151">
      <calculatedColumnFormula array="1">IFERROR(INDEX(_im07[2021 Status], SMALL(IF(_im07[Success Indicator]&lt;&gt; "Removed", ROW(_im07[2021 Status])-ROW(INDEX(_im07[2021 Status],1,1))+1), ROW(1:1))), "") &amp; ""</calculatedColumnFormula>
    </tableColumn>
    <tableColumn id="5" xr3:uid="{9FFD6E77-D742-489B-A40D-32AD97F43BA6}" name="2021 Evidence" dataDxfId="150">
      <calculatedColumnFormula array="1">IFERROR(INDEX(_im07[2021 Evidence], SMALL(IF(_im07[Success Indicator]&lt;&gt; "Removed", ROW(_im07[2021 Evidence])-ROW(INDEX(_im07[2021 Evidence],1,1))+1), ROW(1:1))), "") &amp; ""</calculatedColumnFormula>
    </tableColumn>
    <tableColumn id="6" xr3:uid="{3B340C24-CE02-42FD-AD4C-CEC8CB590BB7}" name="Review Questions / Instructions" dataDxfId="149"/>
    <tableColumn id="7" xr3:uid="{C5D333AE-E86B-49EA-B27A-34AC0DF720F3}" name="2023 Status"/>
    <tableColumn id="8" xr3:uid="{E4170148-C6F5-40A5-9355-F19B5579D5C6}" name="2023 Evidence"/>
    <tableColumn id="9" xr3:uid="{8331AE03-BB41-4960-B673-B8B622893313}" name="Gap Description / Impact" dataDxfId="148"/>
    <tableColumn id="10" xr3:uid="{E1965C1A-0C5A-4311-B772-80CDD621B7B4}" name="Gap" dataDxfId="147">
      <calculatedColumnFormula>IF(ISBLANK(_im07_gap[[#This Row],[2023 Status]]), "2023 Status Empty",
IFERROR(
    IF(VLOOKUP(_im07_gap[[#This Row],[2021 Status]], _statuses[Status Level]:_statuses[Status Value], 7, FALSE) &gt; VLOOKUP(_im07_gap[[#This Row],[2023 Status]], _statuses[Status Level]:_statuses[Status Value], 7, FALSE),
    -ABS(VLOOKUP(_im07_gap[[#This Row],[2021 Status]], _statuses[Status Level]:_statuses[Status Value], 7, FALSE) - VLOOKUP(_im07_gap[[#This Row],[2023 Status]], _statuses[Status Level]:_statuses[Status Value], 7, FALSE)),
    ABS(VLOOKUP(_im07_gap[[#This Row],[2021 Status]], _statuses[Status Level]:_statuses[Status Value], 7, FALSE) - VLOOKUP(_im07_gap[[#This Row],[2023 Status]], _statuses[Status Level]:_statuses[Status Value], 7, FALSE))),
"Error in Calculation")
)</calculatedColumnFormula>
    </tableColumn>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ED34E87E-721F-43F5-95B7-ABE495F219B6}" name="_im08_gap" displayName="_im08_gap" ref="A49:J55" totalsRowShown="0">
  <autoFilter ref="A49:J55" xr:uid="{ED34E87E-721F-43F5-95B7-ABE495F219B6}"/>
  <tableColumns count="10">
    <tableColumn id="1" xr3:uid="{2B3344EB-888A-4B55-A48A-2CEBB0F08911}" name="Goal #" dataDxfId="146">
      <calculatedColumnFormula array="1">IFERROR(INDEX(_im08[Goal '#], SMALL(IF(_im08[Success Indicator]&lt;&gt; "Removed", ROW(_im08[Goal '#])-ROW(INDEX(_im08[Goal '#],1,1))+1), ROW(1:1))), "") &amp; ""</calculatedColumnFormula>
    </tableColumn>
    <tableColumn id="2" xr3:uid="{ED144E51-1202-479A-B5B9-F1E87D27578E}" name="Success Indicator" dataDxfId="145">
      <calculatedColumnFormula array="1">IFERROR(INDEX(_im08[Success Indicator], SMALL(IF(_im08[Success Indicator]&lt;&gt; "Removed", ROW(_im08[Success Indicator])-ROW(INDEX(_im08[Success Indicator],1,1))+1), ROW(1:1))), "") &amp; ""</calculatedColumnFormula>
    </tableColumn>
    <tableColumn id="3" xr3:uid="{8B95B765-0161-44E8-9239-0642D9BA2506}" name="ATI Stakeholder" dataDxfId="144">
      <calculatedColumnFormula array="1">IFERROR(INDEX(_im08[Department Stakeholder?], SMALL(IF(_im08[Success Indicator]&lt;&gt; "Removed", ROW(_im08[Department Stakeholder?])-ROW(INDEX(_im08[Department Stakeholder?],1,1))+1), ROW(1:1))), "") &amp; ""</calculatedColumnFormula>
    </tableColumn>
    <tableColumn id="4" xr3:uid="{CFC829C4-6640-48DF-B39D-C33A8FC1E178}" name="2021 Status" dataDxfId="143">
      <calculatedColumnFormula array="1">IFERROR(INDEX(_im08[2021 Status], SMALL(IF(_im08[Success Indicator]&lt;&gt; "Removed", ROW(_im08[2021 Status])-ROW(INDEX(_im08[2021 Status],1,1))+1), ROW(1:1))), "") &amp; ""</calculatedColumnFormula>
    </tableColumn>
    <tableColumn id="5" xr3:uid="{64531B5D-5A5F-43AC-866A-3633510A020E}" name="2021 Evidence" dataDxfId="142">
      <calculatedColumnFormula array="1">IFERROR(INDEX(_im08[2021 Evidence], SMALL(IF(_im08[Success Indicator]&lt;&gt; "Removed", ROW(_im08[2021 Evidence])-ROW(INDEX(_im08[2021 Evidence],1,1))+1), ROW(1:1))), "") &amp; ""</calculatedColumnFormula>
    </tableColumn>
    <tableColumn id="6" xr3:uid="{09906A11-EF5C-4825-9DA1-0D543B6C2995}" name="Review Questions / Instructions" dataDxfId="141"/>
    <tableColumn id="7" xr3:uid="{79C69268-9E91-43BE-B3C8-18216F55F993}" name="2023 Status"/>
    <tableColumn id="8" xr3:uid="{C48CEF27-24FB-45F4-9ECA-CC832F9A0E0E}" name="2023 Evidence"/>
    <tableColumn id="9" xr3:uid="{2878D63E-F16A-4542-866B-C2CFE2B7ED4F}" name="Gap Description / Impact" dataDxfId="140"/>
    <tableColumn id="10" xr3:uid="{36091E2D-627C-4887-8865-4DFE9199DD30}" name="Gap" dataDxfId="139">
      <calculatedColumnFormula>IF(ISBLANK(_im08_gap[[#This Row],[2023 Status]]), "2023 Status Empty",
IF(_im08_gap[[#This Row],[2023 Status]] = "Not Started", -5,
IFERROR(
    IF(VLOOKUP(_im08_gap[[#This Row],[2021 Status]], _statuses[Status Level]:_statuses[Status Value], 7, FALSE) &gt; VLOOKUP(_im08_gap[[#This Row],[2023 Status]], _statuses[Status Level]:_statuses[Status Value], 7, FALSE),
    -ABS(VLOOKUP(_im08_gap[[#This Row],[2021 Status]], _statuses[Status Level]:_statuses[Status Value], 7, FALSE) - VLOOKUP(_im08_gap[[#This Row],[2023 Status]], _statuses[Status Level]:_statuses[Status Value], 7, FALSE)),
    ABS(VLOOKUP(_im08_gap[[#This Row],[2021 Status]], _statuses[Status Level]:_statuses[Status Value], 7, FALSE) - VLOOKUP(_im08_gap[[#This Row],[2023 Status]], _statuses[Status Level]:_statuses[Status Value], 7, FALSE))),
"Error in Calculation")
))</calculatedColumnFormula>
    </tableColumn>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761D1B25-0382-49DB-9038-243753D67426}" name="_im09_gap" displayName="_im09_gap" ref="A59:J61" totalsRowShown="0">
  <autoFilter ref="A59:J61" xr:uid="{761D1B25-0382-49DB-9038-243753D67426}"/>
  <tableColumns count="10">
    <tableColumn id="1" xr3:uid="{F961015A-B83E-4200-9EC7-6792862FD72D}" name="Goal #" dataDxfId="138">
      <calculatedColumnFormula array="1">IFERROR(INDEX(_im09[Goal '#], SMALL(IF(_im09[Success Indicator]&lt;&gt; "Removed", ROW(_im09[Goal '#])-ROW(INDEX(_im09[Goal '#],1,1))+1), ROW(1:1))), "") &amp; ""</calculatedColumnFormula>
    </tableColumn>
    <tableColumn id="2" xr3:uid="{27F4AD67-5C9E-4FFE-8CC5-DD87B4C0EA74}" name="Success Indicator" dataDxfId="137">
      <calculatedColumnFormula array="1">IFERROR(INDEX(_im09[Success Indicator], SMALL(IF(_im09[Success Indicator]&lt;&gt; "Removed", ROW(_im09[Success Indicator])-ROW(INDEX(_im09[Success Indicator],1,1))+1), ROW(1:1))), "") &amp; ""</calculatedColumnFormula>
    </tableColumn>
    <tableColumn id="3" xr3:uid="{C9DB9ADB-E520-43F3-A9A6-76309C896934}" name="ATI Stakeholder" dataDxfId="136">
      <calculatedColumnFormula array="1">IFERROR(INDEX(_im09[Department Stakeholder?], SMALL(IF(_im09[Success Indicator]&lt;&gt; "Removed", ROW(_im09[Department Stakeholder?])-ROW(INDEX(_im09[Department Stakeholder?],1,1))+1), ROW(1:1))), "") &amp; ""</calculatedColumnFormula>
    </tableColumn>
    <tableColumn id="4" xr3:uid="{D14CC00E-F4A1-4747-892D-16B872F3815C}" name="2021 Status" dataDxfId="135">
      <calculatedColumnFormula array="1">IFERROR(INDEX(_im09[2021 Status], SMALL(IF(_im09[Success Indicator]&lt;&gt; "Removed", ROW(_im09[2021 Status])-ROW(INDEX(_im09[2021 Status],1,1))+1), ROW(1:1))), "") &amp; ""</calculatedColumnFormula>
    </tableColumn>
    <tableColumn id="5" xr3:uid="{F4CA2129-A4E8-44B5-BDC3-89D8CFC40C49}" name="2021 Evidence" dataDxfId="134">
      <calculatedColumnFormula array="1">IFERROR(INDEX(_im09[2021 Evidence], SMALL(IF(_im09[Success Indicator]&lt;&gt; "Removed", ROW(_im09[2021 Evidence])-ROW(INDEX(_im09[2021 Evidence],1,1))+1), ROW(1:1))), "") &amp; ""</calculatedColumnFormula>
    </tableColumn>
    <tableColumn id="6" xr3:uid="{25ED8C9F-E041-4F18-8423-7502FEB54769}" name="Review Questions / Instructions" dataDxfId="133"/>
    <tableColumn id="7" xr3:uid="{183BFD4E-D0B1-46AE-AE6D-04242E517F64}" name="2023 Status"/>
    <tableColumn id="8" xr3:uid="{A397EF4E-BCB3-42E9-8EEB-A54CF4B24AC8}" name="2023 Evidence"/>
    <tableColumn id="9" xr3:uid="{5C69CFCC-7A4C-4373-B766-23625C1FCF6A}" name="Gap Description / Impact" dataDxfId="132"/>
    <tableColumn id="10" xr3:uid="{B8556E72-D757-48B2-AD08-C66F7B2DFD0C}" name="Gap" dataDxfId="131">
      <calculatedColumnFormula>IF(ISBLANK(_im09_gap[[#This Row],[2023 Status]]), "2023 Status Empty",
IF(_im09_gap[[#This Row],[2023 Status]] = "Not Started", -5,
IFERROR(
    IF(VLOOKUP(_im09_gap[[#This Row],[2021 Status]], _statuses[Status Level]:_statuses[Status Value], 7, FALSE) &gt; VLOOKUP(_im09_gap[[#This Row],[2023 Status]], _statuses[Status Level]:_statuses[Status Value], 7, FALSE),
    -ABS(VLOOKUP(_im09_gap[[#This Row],[2021 Status]], _statuses[Status Level]:_statuses[Status Value], 7, FALSE) - VLOOKUP(_im09_gap[[#This Row],[2023 Status]], _statuses[Status Level]:_statuses[Status Value], 7, FALSE)),
    ABS(VLOOKUP(_im09_gap[[#This Row],[2021 Status]], _statuses[Status Level]:_statuses[Status Value], 7, FALSE) - VLOOKUP(_im09_gap[[#This Row],[2023 Status]], _statuses[Status Level]:_statuses[Status Value], 7, FALSE))),
"Error in Calculation")
))</calculatedColumnFormula>
    </tableColumn>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F3E4F12-8545-423B-88FC-162798FC2E81}" name="_web1_gap" displayName="_web1_gap" ref="A4:J15" totalsRowShown="0">
  <autoFilter ref="A4:J15" xr:uid="{3F3E4F12-8545-423B-88FC-162798FC2E81}"/>
  <tableColumns count="10">
    <tableColumn id="1" xr3:uid="{A66848B1-68A3-4876-A8AC-CDEC1505E123}" name="Goal #" dataDxfId="130">
      <calculatedColumnFormula array="1">IFERROR(INDEX(_web01[Goal '#], SMALL(IF(_web01[Success Indicator]&lt;&gt; "Removed", ROW(_web01[Goal '#])-ROW(INDEX(_web01[Goal '#],1,1))+1), ROW(1:1))), "") &amp; ""</calculatedColumnFormula>
    </tableColumn>
    <tableColumn id="2" xr3:uid="{4BD59775-C8B5-4910-8478-216447A3FF19}" name="Success Indicator" dataDxfId="129">
      <calculatedColumnFormula array="1">IFERROR(INDEX(_web01[Success Indicator], SMALL(IF(_web01[Success Indicator]&lt;&gt; "Removed", ROW(_web01[Success Indicator])-ROW(INDEX(_web01[Success Indicator],1,1))+1), ROW(1:1))), "") &amp; ""</calculatedColumnFormula>
    </tableColumn>
    <tableColumn id="3" xr3:uid="{C68E26B0-3553-4A05-9494-0AF1EF5D7C96}" name="ATI Stakeholder" dataDxfId="128">
      <calculatedColumnFormula array="1">IFERROR(INDEX(_web01[Department Stakeholder?], SMALL(IF(_web01[Success Indicator]&lt;&gt; "Removed", ROW(_web01[Department Stakeholder?])-ROW(INDEX(_web01[Department Stakeholder?],1,1))+1), ROW(1:1))), "") &amp; ""</calculatedColumnFormula>
    </tableColumn>
    <tableColumn id="4" xr3:uid="{AF84B9A8-3527-4D3B-B150-B920AA160742}" name="2021 Status" dataDxfId="127">
      <calculatedColumnFormula array="1">IFERROR(INDEX(_web01[2021 Status], SMALL(IF(_web01[Success Indicator]&lt;&gt; "Removed", ROW(_web01[2021 Status])-ROW(INDEX(_web01[2021 Status],1,1))+1), ROW(1:1))), "") &amp; ""</calculatedColumnFormula>
    </tableColumn>
    <tableColumn id="8" xr3:uid="{9B22F6AA-7F96-4F0F-B3FF-4B534E2DD238}" name="2021 Evidence" dataDxfId="126">
      <calculatedColumnFormula array="1">IFERROR(INDEX(_web01[2021 Evidence], SMALL(IF(_web01[Success Indicator]&lt;&gt; "Removed", ROW(_web01[2021 Evidence])-ROW(INDEX(_web01[2021 Evidence],1,1))+1), ROW(1:1))), "") &amp; ""</calculatedColumnFormula>
    </tableColumn>
    <tableColumn id="11" xr3:uid="{A34D3FFF-CBAE-423E-BED7-C3D715E70983}" name="Review Questions / Instructions" dataDxfId="125"/>
    <tableColumn id="9" xr3:uid="{9D35D8D8-33C1-4127-BFC7-93B8F8AAB078}" name="2023 Status" dataDxfId="124"/>
    <tableColumn id="5" xr3:uid="{AED95EA6-168E-4804-971E-FBD3F1CEB91E}" name="2023 Evidence" dataDxfId="123"/>
    <tableColumn id="10" xr3:uid="{BED05577-36F6-4FEF-8F7F-EF4D8CB2E3DF}" name="Gap Description / Impact" dataDxfId="122"/>
    <tableColumn id="6" xr3:uid="{1C97BD0E-3F4B-4BB9-9D9B-8CC927AF338C}" name="Gap" dataDxfId="121">
      <calculatedColumnFormula>IF(ISBLANK(_web1_gap[[#This Row],[2023 Status]]), "2023 Status Empty",
IF(_web1_gap[[#This Row],[2023 Status]] = "Not Started", -5,
IFERROR(
    IF(VLOOKUP(_web1_gap[[#This Row],[2021 Status]], _statuses[Status Level]:_statuses[Status Value], 7, FALSE) &gt; VLOOKUP(_web1_gap[[#This Row],[2023 Status]], _statuses[Status Level]:_statuses[Status Value], 7, FALSE),
    -ABS(VLOOKUP(_web1_gap[[#This Row],[2021 Status]], _statuses[Status Level]:_statuses[Status Value], 7, FALSE) - VLOOKUP(_web1_gap[[#This Row],[2023 Status]], _statuses[Status Level]:_statuses[Status Value], 7, FALSE)),
    ABS(VLOOKUP(_web1_gap[[#This Row],[2021 Status]], _statuses[Status Level]:_statuses[Status Value], 7, FALSE) - VLOOKUP(_web1_gap[[#This Row],[2023 Status]], _statuses[Status Level]:_statuses[Status Value], 7, FALSE))),
"Error in Calculation")
))</calculatedColumnFormula>
    </tableColumn>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3A16161-1DF2-4B80-B3B0-53F489FB2FF4}" name="_web2_gap" displayName="_web2_gap" ref="A19:J24" totalsRowShown="0" headerRowDxfId="120" dataDxfId="119">
  <autoFilter ref="A19:J24" xr:uid="{03A16161-1DF2-4B80-B3B0-53F489FB2FF4}"/>
  <tableColumns count="10">
    <tableColumn id="1" xr3:uid="{4ABE17C8-8F61-4751-A32D-F4685937A0EC}" name="Goal #" dataDxfId="118">
      <calculatedColumnFormula array="1">IFERROR(INDEX(_web02[Goal '#], SMALL(IF(_web02[Success Indicator]&lt;&gt; "Removed", ROW(_web02[Goal '#])-ROW(INDEX(_web02[Goal '#],1,1))+1), ROW(1:1))), "") &amp; ""</calculatedColumnFormula>
    </tableColumn>
    <tableColumn id="2" xr3:uid="{D929079C-7882-4CE5-8820-E810661F110C}" name="Success Indicator" dataDxfId="117">
      <calculatedColumnFormula array="1">IFERROR(INDEX(_web02[Success Indicator], SMALL(IF(_web02[Success Indicator]&lt;&gt; "Removed", ROW(_web02[Success Indicator])-ROW(INDEX(_web02[Success Indicator],1,1))+1), ROW(1:1))), "") &amp; ""</calculatedColumnFormula>
    </tableColumn>
    <tableColumn id="3" xr3:uid="{B54BADD2-6DE0-4D1C-AAD4-5CB1F61164BC}" name="ATI Stakeholder" dataDxfId="116">
      <calculatedColumnFormula array="1">IFERROR(INDEX(_web02[Department Stakeholder?], SMALL(IF(_web02[Success Indicator]&lt;&gt; "Removed", ROW(_web02[Department Stakeholder?])-ROW(INDEX(_web02[Department Stakeholder?],1,1))+1), ROW(1:1))), "") &amp; ""</calculatedColumnFormula>
    </tableColumn>
    <tableColumn id="4" xr3:uid="{C771BF2B-7C5F-4431-B751-6529EF32D112}" name="2021 Status" dataDxfId="115">
      <calculatedColumnFormula array="1">IFERROR(INDEX(_web02[2021 Status], SMALL(IF(_web02[Success Indicator]&lt;&gt; "Removed", ROW(_web02[2021 Status])-ROW(INDEX(_web02[2021 Status],1,1))+1), ROW(1:1))), "") &amp; ""</calculatedColumnFormula>
    </tableColumn>
    <tableColumn id="8" xr3:uid="{E7AAC1E3-1163-463F-ACA6-5A232B93374A}" name="2021 Evidence" dataDxfId="114">
      <calculatedColumnFormula array="1">IFERROR(INDEX(_web02[2021 Evidence], SMALL(IF(_web02[Success Indicator]&lt;&gt; "Removed", ROW(_web02[2021 Evidence])-ROW(INDEX(_web02[2021 Evidence],1,1))+1), ROW(1:1))), "") &amp; ""</calculatedColumnFormula>
    </tableColumn>
    <tableColumn id="11" xr3:uid="{21F53682-E765-4963-800D-B533BC1685A2}" name="Review Questions / Instructions" dataDxfId="113"/>
    <tableColumn id="9" xr3:uid="{7B9C7CBB-2376-4CA9-9CBB-6B205944EFD5}" name="2023 Status" dataDxfId="112"/>
    <tableColumn id="5" xr3:uid="{67D62BDC-6137-4FBF-B202-300858D55719}" name="2023 Evidence" dataDxfId="111"/>
    <tableColumn id="10" xr3:uid="{12C92C3E-0B14-4432-9DC8-1D8898CD6442}" name="Gap Description / Impact" dataDxfId="110"/>
    <tableColumn id="6" xr3:uid="{A48DAA00-F5E4-43B3-9034-99760F7AE553}" name="Gap" dataDxfId="109">
      <calculatedColumnFormula>IF(ISBLANK(_web2_gap[[#This Row],[2023 Status]]), "2023 Status Empty",
IF(_web2_gap[[#This Row],[2023 Status]] = "Not Started", -5,
IFERROR(
    IF(VLOOKUP(_web2_gap[[#This Row],[2021 Status]], _statuses[Status Level]:_statuses[Status Value], 7, FALSE) &gt; VLOOKUP(_web2_gap[[#This Row],[2023 Status]], _statuses[Status Level]:_statuses[Status Value], 7, FALSE),
    -ABS(VLOOKUP(_web2_gap[[#This Row],[2021 Status]], _statuses[Status Level]:_statuses[Status Value], 7, FALSE) - VLOOKUP(_web2_gap[[#This Row],[2023 Status]], _statuses[Status Level]:_statuses[Status Value], 7, FALSE)),
    ABS(VLOOKUP(_web2_gap[[#This Row],[2021 Status]], _statuses[Status Level]:_statuses[Status Value], 7, FALSE) - VLOOKUP(_web2_gap[[#This Row],[2023 Status]], _statuses[Status Level]:_statuses[Status Value], 7, FALSE))),
"Error in Calculation")
))</calculatedColumnFormula>
    </tableColumn>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36D9E016-9E6B-4655-AB84-955B3E4D03DC}" name="_web3_gap" displayName="_web3_gap" ref="A27:J31" totalsRowShown="0" headerRowDxfId="108" dataDxfId="107">
  <autoFilter ref="A27:J31" xr:uid="{36D9E016-9E6B-4655-AB84-955B3E4D03DC}"/>
  <tableColumns count="10">
    <tableColumn id="1" xr3:uid="{57075DD5-1A63-4864-BF8E-DA617FECE9FE}" name="Goal #" dataDxfId="106">
      <calculatedColumnFormula array="1">IFERROR(INDEX(_web03[Goal '#], SMALL(IF(_web03[Success Indicator]&lt;&gt; "Removed", ROW(_web03[Goal '#])-ROW(INDEX(_web03[Goal '#],1,1))+1), ROW(1:1))), "") &amp; ""</calculatedColumnFormula>
    </tableColumn>
    <tableColumn id="2" xr3:uid="{37DA0357-7823-4F42-B2A1-6C57714D69ED}" name="Success Indicator" dataDxfId="105">
      <calculatedColumnFormula array="1">IFERROR(INDEX(_web03[Success Indicator], SMALL(IF(_web03[Success Indicator]&lt;&gt; "Removed", ROW(_web03[Success Indicator])-ROW(INDEX(_web03[Success Indicator],1,1))+1), ROW(1:1))), "") &amp; ""</calculatedColumnFormula>
    </tableColumn>
    <tableColumn id="3" xr3:uid="{D2C9A7CB-F742-40CF-9599-111347CC96BD}" name="ATI Stakeholder" dataDxfId="104">
      <calculatedColumnFormula array="1">IFERROR(INDEX(_web03[Department Stakeholder?], SMALL(IF(_web03[Success Indicator]&lt;&gt; "Removed", ROW(_web03[Department Stakeholder?])-ROW(INDEX(_web03[Department Stakeholder?],1,1))+1), ROW(1:1))), "") &amp; ""</calculatedColumnFormula>
    </tableColumn>
    <tableColumn id="4" xr3:uid="{811DCAEC-45AC-4AB4-BB5D-716FBD84F0D1}" name="2021 Status" dataDxfId="103">
      <calculatedColumnFormula array="1">IFERROR(INDEX(_web03[2021 Status], SMALL(IF(_web03[Success Indicator]&lt;&gt; "Removed", ROW(_web03[2021 Status])-ROW(INDEX(_web03[2021 Status],1,1))+1), ROW(1:1))), "") &amp; ""</calculatedColumnFormula>
    </tableColumn>
    <tableColumn id="8" xr3:uid="{802184A9-74FE-4DFB-A40F-A621F6E8D320}" name="2021 Evidence" dataDxfId="102">
      <calculatedColumnFormula array="1">IFERROR(INDEX(_web03[2021 Evidence], SMALL(IF(_web03[Success Indicator]&lt;&gt; "Removed", ROW(_web03[2021 Evidence])-ROW(INDEX(_web03[2021 Evidence],1,1))+1), ROW(1:1))), "") &amp; ""</calculatedColumnFormula>
    </tableColumn>
    <tableColumn id="11" xr3:uid="{2E306CE4-610F-44EF-BBBE-B85E481EAE48}" name="Review Questions / Instructions" dataDxfId="101"/>
    <tableColumn id="9" xr3:uid="{C03A7E46-8887-48CE-9CE8-123C19978953}" name="2023 Status" dataDxfId="100"/>
    <tableColumn id="5" xr3:uid="{DF2AECA3-EE04-4F03-9F9A-41C56E6FF4DA}" name="2023 Evidence" dataDxfId="99"/>
    <tableColumn id="10" xr3:uid="{8FBA62DF-6638-4DAD-BAA7-F2DD9B1DD2E7}" name="Gap Description / Impact" dataDxfId="98"/>
    <tableColumn id="6" xr3:uid="{0C1F9F39-80D9-4E70-9689-C6017FD6E728}" name="Gap" dataDxfId="97">
      <calculatedColumnFormula>IF(ISBLANK(_web3_gap[[#This Row],[2023 Status]]), "2023 Status Empty",
IF(_web3_gap[[#This Row],[2023 Status]] = "Not Started", -5,
IFERROR(
    IF(VLOOKUP(_web3_gap[[#This Row],[2021 Status]], _statuses[Status Level]:_statuses[Status Value], 7, FALSE) &gt; VLOOKUP(_web3_gap[[#This Row],[2023 Status]], _statuses[Status Level]:_statuses[Status Value], 7, FALSE),
    -ABS(VLOOKUP(_web3_gap[[#This Row],[2021 Status]], _statuses[Status Level]:_statuses[Status Value], 7, FALSE) - VLOOKUP(_web3_gap[[#This Row],[2023 Status]], _statuses[Status Level]:_statuses[Status Value], 7, FALSE)),
    ABS(VLOOKUP(_web3_gap[[#This Row],[2021 Status]], _statuses[Status Level]:_statuses[Status Value], 7, FALSE) - VLOOKUP(_web3_gap[[#This Row],[2023 Status]], _statuses[Status Level]:_statuses[Status Value], 7, FALSE))),
"Error in Calculation")
))</calculatedColumnFormula>
    </tableColumn>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D0B1E22-9CE8-4820-9BF3-F5300FC7D500}" name="_web5_gap" displayName="_web5_gap" ref="A35:J44" totalsRowShown="0" headerRowDxfId="96" dataDxfId="95">
  <autoFilter ref="A35:J44" xr:uid="{3D0B1E22-9CE8-4820-9BF3-F5300FC7D500}"/>
  <tableColumns count="10">
    <tableColumn id="1" xr3:uid="{CDCB1DE8-3282-4CE0-91B9-7596F3FD3D66}" name="Goal #" dataDxfId="94">
      <calculatedColumnFormula array="1">IFERROR(INDEX(_web05[Goal '#], SMALL(IF(_web05[Success Indicator]&lt;&gt; "Removed", ROW(_web05[Goal '#])-ROW(INDEX(_web05[Goal '#],1,1))+1), ROW(1:1))), "") &amp; ""</calculatedColumnFormula>
    </tableColumn>
    <tableColumn id="2" xr3:uid="{72C64A2D-50D7-4821-BDBF-A96FE261A96E}" name="Success Indicator" dataDxfId="93">
      <calculatedColumnFormula array="1">IFERROR(INDEX(_web05[Success Indicator], SMALL(IF(_web05[Success Indicator]&lt;&gt; "Removed", ROW(_web05[Success Indicator])-ROW(INDEX(_web05[Success Indicator],1,1))+1), ROW(1:1))), "") &amp; ""</calculatedColumnFormula>
    </tableColumn>
    <tableColumn id="3" xr3:uid="{38497043-4C70-412C-87E0-EE5E63924146}" name="ATI Stakeholder" dataDxfId="92">
      <calculatedColumnFormula array="1">IFERROR(INDEX(_web05[Department Stakeholder?], SMALL(IF(_web05[Success Indicator]&lt;&gt; "Removed", ROW(_web05[Department Stakeholder?])-ROW(INDEX(_web05[Department Stakeholder?],1,1))+1), ROW(1:1))), "") &amp; ""</calculatedColumnFormula>
    </tableColumn>
    <tableColumn id="4" xr3:uid="{2B4975F2-B6BB-4180-9C3C-3F5979F74E2D}" name="2021 Status" dataDxfId="91">
      <calculatedColumnFormula array="1">IFERROR(INDEX(_web05[2021 Status], SMALL(IF(_web05[Success Indicator]&lt;&gt; "Removed", ROW(_web05[2021 Status])-ROW(INDEX(_web05[2021 Status],1,1))+1), ROW(1:1))), "") &amp; ""</calculatedColumnFormula>
    </tableColumn>
    <tableColumn id="8" xr3:uid="{D7304FD6-0E6A-4E34-9884-5C3B6CE2DF43}" name="2021 Evidence" dataDxfId="90">
      <calculatedColumnFormula array="1">IFERROR(INDEX(_web05[2021 Evidence], SMALL(IF(_web05[Success Indicator]&lt;&gt; "Removed", ROW(_web05[2021 Evidence])-ROW(INDEX(_web05[2021 Evidence],1,1))+1), ROW(1:1))), "") &amp; ""</calculatedColumnFormula>
    </tableColumn>
    <tableColumn id="11" xr3:uid="{A6F06FBB-6186-4190-BC3A-B52615F37A9C}" name="Review Questions / Instructions" dataDxfId="89"/>
    <tableColumn id="9" xr3:uid="{4F273ABC-FC44-4F95-AEE5-FF0394327AA6}" name="2023 Status" dataDxfId="88"/>
    <tableColumn id="5" xr3:uid="{10472E99-1CF1-4824-B970-863B7FC4D6B0}" name="2023 Evidence" dataDxfId="87"/>
    <tableColumn id="10" xr3:uid="{2B9143E3-1418-4596-BF32-DFD090ADED81}" name="Gap Description / Impact" dataDxfId="86"/>
    <tableColumn id="6" xr3:uid="{804C3D93-E674-4D28-AC4E-624A25A511DA}" name="Gap" dataDxfId="85">
      <calculatedColumnFormula>IF(ISBLANK(_web5_gap[[#This Row],[2023 Status]]), "2023 Status Empty",
IF(_web5_gap[[#This Row],[2023 Status]] = "Not Started", -5,
IFERROR(
    IF(VLOOKUP(_web5_gap[[#This Row],[2021 Status]], _statuses[Status Level]:_statuses[Status Value], 7, FALSE) &gt; VLOOKUP(_web5_gap[[#This Row],[2023 Status]], _statuses[Status Level]:_statuses[Status Value], 7, FALSE),
    -ABS(VLOOKUP(_web5_gap[[#This Row],[2021 Status]], _statuses[Status Level]:_statuses[Status Value], 7, FALSE) - VLOOKUP(_web5_gap[[#This Row],[2023 Status]], _statuses[Status Level]:_statuses[Status Value], 7, FALSE)),
    ABS(VLOOKUP(_web5_gap[[#This Row],[2021 Status]], _statuses[Status Level]:_statuses[Status Value], 7, FALSE) - VLOOKUP(_web5_gap[[#This Row],[2023 Status]], _statuses[Status Level]:_statuses[Status Value], 7, FALSE))),
"Error in Calculation")
))</calculatedColumnFormula>
    </tableColumn>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18A1D62-27F9-4A09-B6AE-D3A526BF2EBD}" name="_web6_gap" displayName="_web6_gap" ref="A48:J55" totalsRowShown="0" headerRowDxfId="84" dataDxfId="83">
  <autoFilter ref="A48:J55" xr:uid="{B18A1D62-27F9-4A09-B6AE-D3A526BF2EBD}"/>
  <tableColumns count="10">
    <tableColumn id="1" xr3:uid="{2E66F490-CAD1-4F11-BDA6-38DAF66855AE}" name="Goal #" dataDxfId="82">
      <calculatedColumnFormula array="1">IFERROR(INDEX(_web06[Goal '#], SMALL(IF(_web06[Success Indicator]&lt;&gt; "Removed", ROW(_web06[Goal '#])-ROW(INDEX(_web06[Goal '#],1,1))+1), ROW(1:1))), "") &amp; ""</calculatedColumnFormula>
    </tableColumn>
    <tableColumn id="2" xr3:uid="{71DD748B-AB59-4328-A1B7-111C694D6B8A}" name="Success Indicator" dataDxfId="81">
      <calculatedColumnFormula array="1">IFERROR(INDEX(_web06[Success Indicator], SMALL(IF(_web06[Success Indicator]&lt;&gt; "Removed", ROW(_web06[Success Indicator])-ROW(INDEX(_web06[Success Indicator],1,1))+1), ROW(1:1))), "") &amp; ""</calculatedColumnFormula>
    </tableColumn>
    <tableColumn id="3" xr3:uid="{A0E8FA69-1D3E-48C8-B5A9-C511D41F0586}" name="ATI Stakeholder" dataDxfId="80">
      <calculatedColumnFormula array="1">IFERROR(INDEX(_web06[Department Stakeholder?], SMALL(IF(_web06[Success Indicator]&lt;&gt; "Removed", ROW(_web06[Department Stakeholder?])-ROW(INDEX(_web06[Department Stakeholder?],1,1))+1), ROW(1:1))), "") &amp; ""</calculatedColumnFormula>
    </tableColumn>
    <tableColumn id="4" xr3:uid="{44A3FAE5-C96A-43D8-8C73-3A5678ED454C}" name="2021 Status" dataDxfId="79">
      <calculatedColumnFormula array="1">IFERROR(INDEX(_web06[2021 Status], SMALL(IF(_web06[Success Indicator]&lt;&gt; "Removed", ROW(_web06[2021 Status])-ROW(INDEX(_web06[2021 Status],1,1))+1), ROW(1:1))), "") &amp; ""</calculatedColumnFormula>
    </tableColumn>
    <tableColumn id="8" xr3:uid="{891728D9-74E8-44CF-A957-3A524B8ADE96}" name="2021 Evidence" dataDxfId="78">
      <calculatedColumnFormula array="1">IFERROR(INDEX(_web06[2021 Evidence], SMALL(IF(_web06[Success Indicator]&lt;&gt; "Removed", ROW(_web06[2021 Evidence])-ROW(INDEX(_web06[2021 Evidence],1,1))+1), ROW(1:1))), "") &amp; ""</calculatedColumnFormula>
    </tableColumn>
    <tableColumn id="11" xr3:uid="{A5455005-95F1-4E45-B236-A09FB615C54C}" name="Review Questions / Instructions" dataDxfId="77"/>
    <tableColumn id="9" xr3:uid="{6AA36A30-6632-4ECD-88F7-930919876071}" name="2023 Status" dataDxfId="76"/>
    <tableColumn id="5" xr3:uid="{D75C529F-58AD-4ECC-A6B0-663B9B216017}" name="2023 Evidence" dataDxfId="75"/>
    <tableColumn id="10" xr3:uid="{5D820DEC-E818-427E-B93A-0AF4B6941AD2}" name="Gap Description / Impact" dataDxfId="74"/>
    <tableColumn id="6" xr3:uid="{D98D4091-DABC-4ADF-9125-E6B08653480E}" name="Gap" dataDxfId="73">
      <calculatedColumnFormula>IF(ISBLANK(_web6_gap[[#This Row],[2023 Status]]), "2023 Status Empty",
IF(_web6_gap[[#This Row],[2023 Status]] = "Not Started", -5,
IFERROR(
    IF(VLOOKUP(_web6_gap[[#This Row],[2021 Status]], _statuses[Status Level]:_statuses[Status Value], 7, FALSE) &gt; VLOOKUP(_web6_gap[[#This Row],[2023 Status]], _statuses[Status Level]:_statuses[Status Value], 7, FALSE),
    -ABS(VLOOKUP(_web6_gap[[#This Row],[2021 Status]], _statuses[Status Level]:_statuses[Status Value], 7, FALSE) - VLOOKUP(_web6_gap[[#This Row],[2023 Status]], _statuses[Status Level]:_statuses[Status Value], 7, FALSE)),
    ABS(VLOOKUP(_web6_gap[[#This Row],[2021 Status]], _statuses[Status Level]:_statuses[Status Value], 7, FALSE) - VLOOKUP(_web6_gap[[#This Row],[2023 Status]], _statuses[Status Level]:_statuses[Status Value], 7, FALSE))),
"Error in Calculation")
))</calculatedColumnFormula>
    </tableColumn>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A28D7FAC-C668-4FFF-AE13-E425871B27F9}" name="_web7_gap" displayName="_web7_gap" ref="A58:J60" totalsRowShown="0" headerRowDxfId="72" dataDxfId="71">
  <autoFilter ref="A58:J60" xr:uid="{A28D7FAC-C668-4FFF-AE13-E425871B27F9}"/>
  <tableColumns count="10">
    <tableColumn id="1" xr3:uid="{DE7A816C-0A70-4B50-B3A0-DB63E5A5959F}" name="Goal #" dataDxfId="70">
      <calculatedColumnFormula array="1">IFERROR(INDEX(_web07[Goal '#], SMALL(IF(_web07[Success Indicator]&lt;&gt; "Removed", ROW(_web07[Goal '#])-ROW(INDEX(_web07[Goal '#],1,1))+1), ROW(1:1))), "") &amp; ""</calculatedColumnFormula>
    </tableColumn>
    <tableColumn id="2" xr3:uid="{6DB48FD1-22BC-4835-ACEA-7ECD99FFF79C}" name="Success Indicator" dataDxfId="69">
      <calculatedColumnFormula array="1">IFERROR(INDEX(_web07[Success Indicator], SMALL(IF(_web07[Success Indicator]&lt;&gt; "Removed", ROW(_web07[Success Indicator])-ROW(INDEX(_web07[Success Indicator],1,1))+1), ROW(1:1))), "") &amp; ""</calculatedColumnFormula>
    </tableColumn>
    <tableColumn id="3" xr3:uid="{FE8C6233-415A-4464-B4E7-91F989EDD8CF}" name="ATI Stakeholder" dataDxfId="68">
      <calculatedColumnFormula array="1">IFERROR(INDEX(_web07[Department Stakeholder?], SMALL(IF(_web07[Success Indicator]&lt;&gt; "Removed", ROW(_web07[Department Stakeholder?])-ROW(INDEX(_web07[Department Stakeholder?],1,1))+1), ROW(1:1))), "") &amp; ""</calculatedColumnFormula>
    </tableColumn>
    <tableColumn id="4" xr3:uid="{7F98C324-6FA9-4B1F-BCDB-E1A786F2625E}" name="2021 Status" dataDxfId="67">
      <calculatedColumnFormula array="1">IFERROR(INDEX(_web07[2021 Status], SMALL(IF(_web07[Success Indicator]&lt;&gt; "Removed", ROW(_web07[2021 Status])-ROW(INDEX(_web07[2021 Status],1,1))+1), ROW(1:1))), "") &amp; ""</calculatedColumnFormula>
    </tableColumn>
    <tableColumn id="8" xr3:uid="{46CB3EF6-AAF2-4200-B1AD-CC9AE2AA5157}" name="2021 Evidence" dataDxfId="66">
      <calculatedColumnFormula array="1">IFERROR(INDEX(_web07[2021 Evidence], SMALL(IF(_web07[Success Indicator]&lt;&gt; "Removed", ROW(_web07[2021 Evidence])-ROW(INDEX(_web07[2021 Evidence],1,1))+1), ROW(1:1))), "") &amp; ""</calculatedColumnFormula>
    </tableColumn>
    <tableColumn id="11" xr3:uid="{069AD155-3F69-4EE2-8673-4C65111EDBAB}" name="Review Questions / Instructions" dataDxfId="65"/>
    <tableColumn id="9" xr3:uid="{823B02B8-11CE-49E7-9ADB-FCD7CBC0219C}" name="2023 Status" dataDxfId="64"/>
    <tableColumn id="5" xr3:uid="{5459CF9C-D312-440D-8C32-464FC217E2EF}" name="2023 Evidence" dataDxfId="63"/>
    <tableColumn id="10" xr3:uid="{7455E268-D671-46AF-B956-6BCF21D99C31}" name="Gap Description / Impact" dataDxfId="62"/>
    <tableColumn id="6" xr3:uid="{30F85FC7-0C08-4757-86C0-801FB21C594D}" name="Gap" dataDxfId="61">
      <calculatedColumnFormula>IF(ISBLANK(_web7_gap[[#This Row],[2023 Status]]), "2023 Status Empty",
IF(_web7_gap[[#This Row],[2023 Status]] = "Not Started", -5,
IFERROR(
    IF(VLOOKUP(_web7_gap[[#This Row],[2021 Status]], _statuses[Status Level]:_statuses[Status Value], 7, FALSE) &gt; VLOOKUP(_web7_gap[[#This Row],[2023 Status]], _statuses[Status Level]:_statuses[Status Value], 7, FALSE),
    -ABS(VLOOKUP(_web7_gap[[#This Row],[2021 Status]], _statuses[Status Level]:_statuses[Status Value], 7, FALSE) - VLOOKUP(_web7_gap[[#This Row],[2023 Status]], _statuses[Status Level]:_statuses[Status Value], 7, FALSE)),
    ABS(VLOOKUP(_web7_gap[[#This Row],[2021 Status]], _statuses[Status Level]:_statuses[Status Value], 7, FALSE) - VLOOKUP(_web7_gap[[#This Row],[2023 Status]], _statuses[Status Level]:_statuses[Status Value], 7, FALSE))),
"Error in Calculation")
))</calculatedColumnFormula>
    </tableColumn>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E8C2F243-C4E8-4D39-9B54-8776E2912DA1}" name="_pro01_gap" displayName="_pro01_gap" ref="A4:J12" totalsRowShown="0">
  <autoFilter ref="A4:J12" xr:uid="{E8C2F243-C4E8-4D39-9B54-8776E2912DA1}"/>
  <tableColumns count="10">
    <tableColumn id="1" xr3:uid="{0D4FA901-D23D-4D46-A146-37BE22E2D73E}" name="Goal #" dataDxfId="60">
      <calculatedColumnFormula array="1">IFERROR(INDEX(_pro01[Goal '#], SMALL(IF(_pro01[Success Indicator]&lt;&gt; "Removed", ROW(_pro01[Goal '#])-ROW(INDEX(_pro01[Goal '#],1,1))+1), ROW(1:1))), "") &amp; ""</calculatedColumnFormula>
    </tableColumn>
    <tableColumn id="2" xr3:uid="{D9A7C8DD-6008-4D68-9EC6-B247D600C3DA}" name="Success Indicator" dataDxfId="59">
      <calculatedColumnFormula array="1">IFERROR(INDEX(_pro01[Success Indicator], SMALL(IF(_pro01[Success Indicator]&lt;&gt; "Removed", ROW(_pro01[Success Indicator])-ROW(INDEX(_pro01[Success Indicator],1,1))+1), ROW(1:1))), "") &amp; ""</calculatedColumnFormula>
    </tableColumn>
    <tableColumn id="3" xr3:uid="{1AF40383-556B-4C97-9B88-9705D9F9B1E0}" name="ATI Stakeholder" dataDxfId="58">
      <calculatedColumnFormula array="1">IFERROR(INDEX(_pro01[Department Stakeholder?], SMALL(IF(_pro01[Success Indicator]&lt;&gt; "Removed", ROW(_pro01[Department Stakeholder?])-ROW(INDEX(_pro01[Department Stakeholder?],1,1))+1), ROW(1:1))), "") &amp; ""</calculatedColumnFormula>
    </tableColumn>
    <tableColumn id="4" xr3:uid="{F6E1A097-0805-4C86-9CE3-A2D14C8B6D08}" name="2021 Status" dataDxfId="57">
      <calculatedColumnFormula array="1">IFERROR(INDEX(_pro01[2021 Status], SMALL(IF(_pro01[Success Indicator]&lt;&gt; "Removed", ROW(_pro01[2021 Status])-ROW(INDEX(_pro01[2021 Status],1,1))+1), ROW(1:1))), "") &amp; ""</calculatedColumnFormula>
    </tableColumn>
    <tableColumn id="5" xr3:uid="{C30CF361-191C-4F32-809D-3E21D720EC84}" name="2021 Evidence" dataDxfId="56">
      <calculatedColumnFormula array="1">IFERROR(INDEX(_pro01[2021 Evidence], SMALL(IF(_pro01[Success Indicator]&lt;&gt; "Removed", ROW(_pro01[2021 Evidence])-ROW(INDEX(_pro01[2021 Evidence],1,1))+1), ROW(1:1))), "") &amp; ""</calculatedColumnFormula>
    </tableColumn>
    <tableColumn id="6" xr3:uid="{63A752AA-7C4B-4FC6-8EFE-C9E6A7422943}" name="Review Questions / Instructions" dataDxfId="55"/>
    <tableColumn id="7" xr3:uid="{A789A580-D3B6-4F72-8C20-2E99241F0950}" name="2023 Status" dataDxfId="54"/>
    <tableColumn id="8" xr3:uid="{9FCADFFD-3F89-4934-A637-7DA67BA7E535}" name="2023 Evidence" dataDxfId="53"/>
    <tableColumn id="9" xr3:uid="{4072BBF5-0BAC-4DDD-863E-7BE90C471775}" name="Gap Description / Impact" dataDxfId="52"/>
    <tableColumn id="10" xr3:uid="{B013C2A7-B05D-43AC-A02E-118435879C0A}" name="Gap" dataDxfId="51">
      <calculatedColumnFormula>IF(ISBLANK(_pro01_gap[[#This Row],[2023 Status]]), "2023 Status Empty",
IF(_pro01_gap[[#This Row],[2023 Status]] = "Not Started", -5,
IFERROR(
    IF(VLOOKUP(_pro01_gap[[#This Row],[2021 Status]], _statuses[Status Level]:_statuses[Status Value], 7, FALSE) &gt; VLOOKUP(_pro01_gap[[#This Row],[2023 Status]], _statuses[Status Level]:_statuses[Status Value], 7, FALSE),
    -ABS(VLOOKUP(_pro01_gap[[#This Row],[2021 Status]], _statuses[Status Level]:_statuses[Status Value], 7, FALSE) - VLOOKUP(_pro01_gap[[#This Row],[2023 Status]], _statuses[Status Level]:_statuses[Status Value], 7, FALSE)),
    ABS(VLOOKUP(_pro01_gap[[#This Row],[2021 Status]], _statuses[Status Level]:_statuses[Status Value], 7, FALSE) - VLOOKUP(_pro01_gap[[#This Row],[2023 Status]], _statuses[Status Level]:_statuses[Status Value], 7, FALSE))),
"Error in Calculation")
))</calculatedColumnFormula>
    </tableColumn>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E12137B0-7EE6-4A68-9B5C-E3D8FCE0B8A8}" name="_pro04_gap" displayName="_pro04_gap" ref="A15:J16" totalsRowShown="0" dataDxfId="50">
  <autoFilter ref="A15:J16" xr:uid="{E12137B0-7EE6-4A68-9B5C-E3D8FCE0B8A8}"/>
  <tableColumns count="10">
    <tableColumn id="1" xr3:uid="{CDA2BBD2-9141-4F30-9657-A620D252CA8C}" name="Goal #" dataDxfId="49">
      <calculatedColumnFormula array="1">IFERROR(INDEX(_pro04[Goal '#], SMALL(IF(_pro04[Success Indicator]&lt;&gt; "Removed", ROW(_pro04[Goal '#])-ROW(INDEX(_pro04[Goal '#],1,1))+1), ROW(1:1))), "") &amp; ""</calculatedColumnFormula>
    </tableColumn>
    <tableColumn id="2" xr3:uid="{CBB6B075-8CAB-4C6C-B203-9528F9AFBE49}" name="Success Indicator" dataDxfId="48">
      <calculatedColumnFormula array="1">IFERROR(INDEX(_pro01[Success Indicator], SMALL(IF(_pro01[Success Indicator]&lt;&gt; "Removed", ROW(_pro01[Success Indicator])-ROW(INDEX(_pro01[Success Indicator],1,1))+1), ROW(12:12))), "") &amp; ""</calculatedColumnFormula>
    </tableColumn>
    <tableColumn id="3" xr3:uid="{B135A827-D57A-4293-942F-20764EEE917A}" name="ATI Stakeholder" dataDxfId="47">
      <calculatedColumnFormula array="1">IFERROR(INDEX(_pro01[Department Stakeholder?], SMALL(IF(_pro01[Success Indicator]&lt;&gt; "Removed", ROW(_pro01[Department Stakeholder?])-ROW(INDEX(_pro01[Department Stakeholder?],1,1))+1), ROW(12:12))), "") &amp; ""</calculatedColumnFormula>
    </tableColumn>
    <tableColumn id="4" xr3:uid="{02795999-B2BC-46EC-A47F-5CD038DB6304}" name="2021 Status" dataDxfId="46">
      <calculatedColumnFormula array="1">IFERROR(INDEX(_pro01[2021 Status], SMALL(IF(_pro01[Success Indicator]&lt;&gt; "Removed", ROW(_pro01[2021 Status])-ROW(INDEX(_pro01[2021 Status],1,1))+1), ROW(12:12))), "") &amp; ""</calculatedColumnFormula>
    </tableColumn>
    <tableColumn id="5" xr3:uid="{5A35CB8C-D234-40AB-BACE-10CD09F0D955}" name="2021 Evidence" dataDxfId="45">
      <calculatedColumnFormula array="1">IFERROR(INDEX(_pro01[2021 Evidence], SMALL(IF(_pro01[Success Indicator]&lt;&gt; "Removed", ROW(_pro01[2021 Evidence])-ROW(INDEX(_pro01[2021 Evidence],1,1))+1), ROW(12:12))), "") &amp; ""</calculatedColumnFormula>
    </tableColumn>
    <tableColumn id="6" xr3:uid="{496BB78B-2F73-457D-A66F-D1DC63711361}" name="Review Questions / Instructions" dataDxfId="44"/>
    <tableColumn id="7" xr3:uid="{8CC89F34-BA8E-4A51-920F-8E946A135397}" name="2023 Status" dataDxfId="43"/>
    <tableColumn id="8" xr3:uid="{8BB33444-D0DE-46E1-8726-5413A3875934}" name="2023 Evidence" dataDxfId="42"/>
    <tableColumn id="9" xr3:uid="{0F9B7105-9519-453A-84BD-827654E2804B}" name="Gap Description / Impact" dataDxfId="41"/>
    <tableColumn id="10" xr3:uid="{414C8AE7-BAD8-4EB2-9AE0-7D8729FBC518}" name="Gap" dataDxfId="40">
      <calculatedColumnFormula>IF(ISBLANK(_pro04_gap[[#This Row],[2023 Status]]), "2023 Status Empty",
IF(_pro04_gap[[#This Row],[2023 Status]] = "Not Started", -5,
IFERROR(
    IF(VLOOKUP(_pro04_gap[[#This Row],[2021 Status]], _statuses[Status Level]:_statuses[Status Value], 7, FALSE) &gt; VLOOKUP(_pro04_gap[[#This Row],[2023 Status]], _statuses[Status Level]:_statuses[Status Value], 7, FALSE),
    -ABS(VLOOKUP(_pro04_gap[[#This Row],[2021 Status]], _statuses[Status Level]:_statuses[Status Value], 7, FALSE) - VLOOKUP(_pro04_gap[[#This Row],[2023 Status]], _statuses[Status Level]:_statuses[Status Value], 7, FALSE)),
    ABS(VLOOKUP(_pro04_gap[[#This Row],[2021 Status]], _statuses[Status Level]:_statuses[Status Value], 7, FALSE) - VLOOKUP(_pro04_gap[[#This Row],[2023 Status]], _statuses[Status Level]:_statuses[Status Value], 7, FALSE))),
"Error in Calculation")
))</calculatedColumnFormula>
    </tableColumn>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5B5CBA48-67F8-4103-BA2E-8C9A3F660A15}" name="_pro05_gap" displayName="_pro05_gap" ref="A20:J28" totalsRowShown="0" dataDxfId="39">
  <autoFilter ref="A20:J28" xr:uid="{5B5CBA48-67F8-4103-BA2E-8C9A3F660A15}"/>
  <tableColumns count="10">
    <tableColumn id="1" xr3:uid="{CAE6D5DB-AC51-446F-AA78-E02ECD7DB0D2}" name="Goal #" dataDxfId="38">
      <calculatedColumnFormula array="1">IFERROR(INDEX(_pro05[Goal '#], SMALL(IF(_pro05[Success Indicator]&lt;&gt; "Removed", ROW(_pro05[Goal '#])-ROW(INDEX(_pro05[Goal '#],1,1))+1), ROW(1:1))), "") &amp; ""</calculatedColumnFormula>
    </tableColumn>
    <tableColumn id="2" xr3:uid="{009B087F-750B-454C-BAE8-85C761E622FE}" name="Success Indicator" dataDxfId="37">
      <calculatedColumnFormula array="1">IFERROR(INDEX(_pro05[Success Indicator], SMALL(IF(_pro05[Success Indicator]&lt;&gt; "Removed", ROW(_pro05[Success Indicator])-ROW(INDEX(_pro05[Success Indicator],1,1))+1), ROW(1:1))), "") &amp; ""</calculatedColumnFormula>
    </tableColumn>
    <tableColumn id="3" xr3:uid="{EC34C0A2-9117-4F6A-9253-E1BC436C154B}" name="ATI Stakeholder" dataDxfId="36">
      <calculatedColumnFormula array="1">IFERROR(INDEX(_pro05[Department Stakeholder?], SMALL(IF(_pro05[Success Indicator]&lt;&gt; "Removed", ROW(_pro05[Department Stakeholder?])-ROW(INDEX(_pro05[Department Stakeholder?],1,1))+1), ROW(1:1))), "") &amp; ""</calculatedColumnFormula>
    </tableColumn>
    <tableColumn id="4" xr3:uid="{BB92240B-E37A-4E8E-A259-75769144CBDC}" name="2021 Status" dataDxfId="35">
      <calculatedColumnFormula array="1">IFERROR(INDEX(_pro05[2021 Status], SMALL(IF(_pro05[Success Indicator]&lt;&gt; "Removed", ROW(_pro05[2021 Status])-ROW(INDEX(_pro05[2021 Status],1,1))+1), ROW(1:1))), "") &amp; ""</calculatedColumnFormula>
    </tableColumn>
    <tableColumn id="5" xr3:uid="{1799E063-DF4F-41BA-8C5E-60DE0B57D101}" name="2021 Evidence" dataDxfId="34">
      <calculatedColumnFormula array="1">IFERROR(INDEX(_pro05[2021 Evidence], SMALL(IF(_pro05[Success Indicator]&lt;&gt; "Removed", ROW(_pro05[2021 Evidence])-ROW(INDEX(_pro05[2021 Evidence],1,1))+1), ROW(1:1))), "") &amp; ""</calculatedColumnFormula>
    </tableColumn>
    <tableColumn id="6" xr3:uid="{06807F12-E3E9-4E65-9399-16E7A12FAECD}" name="Review Questions / Instructions" dataDxfId="33"/>
    <tableColumn id="7" xr3:uid="{47D31CC0-122B-44DB-9E11-4A07991A0E26}" name="2023 Status" dataDxfId="32"/>
    <tableColumn id="8" xr3:uid="{26FAC3CE-8472-40B9-BD90-579D531ED7FE}" name="2023 Evidence" dataDxfId="31"/>
    <tableColumn id="9" xr3:uid="{AF092192-1780-40E1-B2D1-AFD10513E15D}" name="Gap Description / Impact" dataDxfId="30"/>
    <tableColumn id="10" xr3:uid="{964EEF82-A6B3-4919-836E-A607B693D6BD}" name="Gap" dataDxfId="29">
      <calculatedColumnFormula>IF(ISBLANK(_pro05_gap[[#This Row],[2023 Status]]), "2023 Status Empty",
IF(_pro05_gap[[#This Row],[2023 Status]] = "Not Started", -5,
IFERROR(
    IF(VLOOKUP(_pro05_gap[[#This Row],[2021 Status]], _statuses[Status Level]:_statuses[Status Value], 7, FALSE) &gt; VLOOKUP(_pro05_gap[[#This Row],[2023 Status]], _statuses[Status Level]:_statuses[Status Value], 7, FALSE),
    -ABS(VLOOKUP(_pro05_gap[[#This Row],[2021 Status]], _statuses[Status Level]:_statuses[Status Value], 7, FALSE) - VLOOKUP(_pro05_gap[[#This Row],[2023 Status]], _statuses[Status Level]:_statuses[Status Value], 7, FALSE)),
    ABS(VLOOKUP(_pro05_gap[[#This Row],[2021 Status]], _statuses[Status Level]:_statuses[Status Value], 7, FALSE) - VLOOKUP(_pro05_gap[[#This Row],[2023 Status]], _statuses[Status Level]:_statuses[Status Value], 7, FALSE))),
"Error in Calculation")
))</calculatedColumnFormula>
    </tableColumn>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E4FDD029-4DFB-420D-86FB-57969BD4E32D}" name="_pro9_gap" displayName="_pro9_gap" ref="A31:J33" totalsRowShown="0" dataDxfId="28">
  <autoFilter ref="A31:J33" xr:uid="{E4FDD029-4DFB-420D-86FB-57969BD4E32D}"/>
  <tableColumns count="10">
    <tableColumn id="1" xr3:uid="{0090A76E-9F47-43CD-98F9-29FFB0DE0DD6}" name="Goal #" dataDxfId="27">
      <calculatedColumnFormula array="1">IFERROR(INDEX(_pro09[Goal '#], SMALL(IF(_pro09[Success Indicator]&lt;&gt; "Removed", ROW(_pro09[Goal '#])-ROW(INDEX(_pro09[Goal '#],1,1))+1), ROW(1:1))), "") &amp; ""</calculatedColumnFormula>
    </tableColumn>
    <tableColumn id="2" xr3:uid="{8161445B-28AA-4BBA-AAB7-C17CFFF9FF1B}" name="Success Indicator" dataDxfId="26">
      <calculatedColumnFormula array="1">IFERROR(INDEX(_pro09[Success Indicator], SMALL(IF(_pro09[Success Indicator]&lt;&gt; "Removed", ROW(_pro09[Success Indicator])-ROW(INDEX(_pro09[Success Indicator],1,1))+1), ROW(1:1))), "") &amp; ""</calculatedColumnFormula>
    </tableColumn>
    <tableColumn id="3" xr3:uid="{C9E4B62A-0F9D-4FB5-9AF3-F066F4D57A44}" name="ATI Stakeholder" dataDxfId="25">
      <calculatedColumnFormula array="1">IFERROR(INDEX(_pro09[Department Stakeholder?], SMALL(IF(_pro09[Success Indicator]&lt;&gt; "Removed", ROW(_pro09[Department Stakeholder?])-ROW(INDEX(_pro09[Department Stakeholder?],1,1))+1), ROW(1:1))), "") &amp; ""</calculatedColumnFormula>
    </tableColumn>
    <tableColumn id="4" xr3:uid="{22CC8E33-6CD7-471F-8845-6AD43CF72114}" name="2021 Status" dataDxfId="24">
      <calculatedColumnFormula array="1">IFERROR(INDEX(_pro09[2021 Status], SMALL(IF(_pro09[Success Indicator]&lt;&gt; "Removed", ROW(_pro09[2021 Status])-ROW(INDEX(_pro09[2021 Status],1,1))+1), ROW(1:1))), "") &amp; ""</calculatedColumnFormula>
    </tableColumn>
    <tableColumn id="5" xr3:uid="{AFFD1738-008C-4A7C-B20B-0572A7664CA5}" name="2021 Evidence" dataDxfId="23">
      <calculatedColumnFormula array="1">IFERROR(INDEX(_pro09[2021 Evidence], SMALL(IF(_pro09[Success Indicator]&lt;&gt; "Removed", ROW(_pro09[2021 Evidence])-ROW(INDEX(_pro09[2021 Evidence],1,1))+1), ROW(1:1))), "") &amp; ""</calculatedColumnFormula>
    </tableColumn>
    <tableColumn id="6" xr3:uid="{F219C588-4043-4AA6-A9E9-B3487BC2D527}" name="Review Questions / Instructions" dataDxfId="22"/>
    <tableColumn id="7" xr3:uid="{F59E59F7-3437-48C9-B686-F45983052297}" name="2023 Status" dataDxfId="21"/>
    <tableColumn id="8" xr3:uid="{6DF6D609-0CB4-4AC9-9FBE-C06201C7B3E0}" name="2023 Evidence" dataDxfId="20"/>
    <tableColumn id="9" xr3:uid="{A5E069E9-24B2-45CF-BA8C-1B0CB3198899}" name="Gap Description / Impact" dataDxfId="19"/>
    <tableColumn id="10" xr3:uid="{11493FC1-4BCB-4331-9E7F-65C253050858}" name="Gap" dataDxfId="18">
      <calculatedColumnFormula>IF(ISBLANK(_pro9_gap[[#This Row],[2023 Status]]), "2023 Status Empty",
IF(_pro9_gap[[#This Row],[2023 Status]] = "Not Started", -5,
IFERROR(
    IF(VLOOKUP(_pro9_gap[[#This Row],[2021 Status]], _statuses[Status Level]:_statuses[Status Value], 7, FALSE) &gt; VLOOKUP(_pro9_gap[[#This Row],[2023 Status]], _statuses[Status Level]:_statuses[Status Value], 7, FALSE),
    -ABS(VLOOKUP(_pro9_gap[[#This Row],[2021 Status]], _statuses[Status Level]:_statuses[Status Value], 7, FALSE) - VLOOKUP(_pro9_gap[[#This Row],[2023 Status]], _statuses[Status Level]:_statuses[Status Value], 7, FALSE)),
    ABS(VLOOKUP(_pro9_gap[[#This Row],[2021 Status]], _statuses[Status Level]:_statuses[Status Value], 7, FALSE) - VLOOKUP(_pro9_gap[[#This Row],[2023 Status]], _statuses[Status Level]:_statuses[Status Value], 7, FALSE))),
"Error in Calculation")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sfsu.app.box.com/s/6ldtuo2sy7izpfscde8zuuqunetsnhgv" TargetMode="External"/></Relationships>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printerSettings" Target="../printerSettings/printerSettings2.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8.xml"/><Relationship Id="rId13" Type="http://schemas.openxmlformats.org/officeDocument/2006/relationships/table" Target="../tables/table23.xml"/><Relationship Id="rId3" Type="http://schemas.openxmlformats.org/officeDocument/2006/relationships/table" Target="../tables/table13.xml"/><Relationship Id="rId7" Type="http://schemas.openxmlformats.org/officeDocument/2006/relationships/table" Target="../tables/table17.xml"/><Relationship Id="rId12" Type="http://schemas.openxmlformats.org/officeDocument/2006/relationships/table" Target="../tables/table22.xml"/><Relationship Id="rId2" Type="http://schemas.openxmlformats.org/officeDocument/2006/relationships/table" Target="../tables/table12.xml"/><Relationship Id="rId1" Type="http://schemas.openxmlformats.org/officeDocument/2006/relationships/printerSettings" Target="../printerSettings/printerSettings3.bin"/><Relationship Id="rId6" Type="http://schemas.openxmlformats.org/officeDocument/2006/relationships/table" Target="../tables/table16.xml"/><Relationship Id="rId11" Type="http://schemas.openxmlformats.org/officeDocument/2006/relationships/table" Target="../tables/table21.xml"/><Relationship Id="rId5" Type="http://schemas.openxmlformats.org/officeDocument/2006/relationships/table" Target="../tables/table15.xml"/><Relationship Id="rId15" Type="http://schemas.openxmlformats.org/officeDocument/2006/relationships/table" Target="../tables/table2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 Id="rId14" Type="http://schemas.openxmlformats.org/officeDocument/2006/relationships/table" Target="../tables/table24.xml"/></Relationships>
</file>

<file path=xl/worksheets/_rels/sheet4.xml.rels><?xml version="1.0" encoding="UTF-8" standalone="yes"?>
<Relationships xmlns="http://schemas.openxmlformats.org/package/2006/relationships"><Relationship Id="rId8" Type="http://schemas.openxmlformats.org/officeDocument/2006/relationships/table" Target="../tables/table32.xml"/><Relationship Id="rId13" Type="http://schemas.openxmlformats.org/officeDocument/2006/relationships/table" Target="../tables/table37.xml"/><Relationship Id="rId3" Type="http://schemas.openxmlformats.org/officeDocument/2006/relationships/table" Target="../tables/table27.xml"/><Relationship Id="rId7" Type="http://schemas.openxmlformats.org/officeDocument/2006/relationships/table" Target="../tables/table31.xml"/><Relationship Id="rId12" Type="http://schemas.openxmlformats.org/officeDocument/2006/relationships/table" Target="../tables/table36.xml"/><Relationship Id="rId2" Type="http://schemas.openxmlformats.org/officeDocument/2006/relationships/table" Target="../tables/table26.xml"/><Relationship Id="rId1" Type="http://schemas.openxmlformats.org/officeDocument/2006/relationships/printerSettings" Target="../printerSettings/printerSettings4.bin"/><Relationship Id="rId6" Type="http://schemas.openxmlformats.org/officeDocument/2006/relationships/table" Target="../tables/table30.xml"/><Relationship Id="rId11" Type="http://schemas.openxmlformats.org/officeDocument/2006/relationships/table" Target="../tables/table35.xml"/><Relationship Id="rId5" Type="http://schemas.openxmlformats.org/officeDocument/2006/relationships/table" Target="../tables/table29.xml"/><Relationship Id="rId10" Type="http://schemas.openxmlformats.org/officeDocument/2006/relationships/table" Target="../tables/table34.xml"/><Relationship Id="rId4" Type="http://schemas.openxmlformats.org/officeDocument/2006/relationships/table" Target="../tables/table28.xml"/><Relationship Id="rId9" Type="http://schemas.openxmlformats.org/officeDocument/2006/relationships/table" Target="../tables/table3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hyperlink" Target="mailto:aroll@calstate.edu"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7.xml.rels><?xml version="1.0" encoding="UTF-8" standalone="yes"?>
<Relationships xmlns="http://schemas.openxmlformats.org/package/2006/relationships"><Relationship Id="rId13" Type="http://schemas.openxmlformats.org/officeDocument/2006/relationships/hyperlink" Target="https://sfsu.box.com/s/zhhjbbp9h7qbr5kpmsy2c105e3zsjjjn" TargetMode="External"/><Relationship Id="rId18" Type="http://schemas.openxmlformats.org/officeDocument/2006/relationships/hyperlink" Target="https://procurement.sfsu.edu/faqsgs" TargetMode="External"/><Relationship Id="rId26" Type="http://schemas.openxmlformats.org/officeDocument/2006/relationships/hyperlink" Target="https://sfsu.app.box.com/s/6ldtuo2sy7izpfscde8zuuqunetsnhgv" TargetMode="External"/><Relationship Id="rId39" Type="http://schemas.openxmlformats.org/officeDocument/2006/relationships/table" Target="../tables/table45.xml"/><Relationship Id="rId21" Type="http://schemas.openxmlformats.org/officeDocument/2006/relationships/hyperlink" Target="https://calstate.policystat.com/policy/11430142/latest/" TargetMode="External"/><Relationship Id="rId34" Type="http://schemas.openxmlformats.org/officeDocument/2006/relationships/hyperlink" Target="https://ilearn.sfsu.edu/collab/course/view.php?id=2055" TargetMode="External"/><Relationship Id="rId7" Type="http://schemas.openxmlformats.org/officeDocument/2006/relationships/hyperlink" Target="https://www.cpp.edu/accessibility/documents/AACodedMemoAA-2009-19.pdf" TargetMode="External"/><Relationship Id="rId12" Type="http://schemas.openxmlformats.org/officeDocument/2006/relationships/hyperlink" Target="https://sfsu.box.com/s/037wli8ykvdt3uim67cycmxh79btxc4x" TargetMode="External"/><Relationship Id="rId17" Type="http://schemas.openxmlformats.org/officeDocument/2006/relationships/hyperlink" Target="https://sfsu.box.com/s/diiwm004t6grf5qnsvy9zssx2ynmpawz" TargetMode="External"/><Relationship Id="rId25" Type="http://schemas.openxmlformats.org/officeDocument/2006/relationships/hyperlink" Target="https://qaservices.sfsu.edu/cloud-computing" TargetMode="External"/><Relationship Id="rId33" Type="http://schemas.openxmlformats.org/officeDocument/2006/relationships/hyperlink" Target="https://athelp.sfsu.edu/hc/en-us/articles/4401873234707-Guidelines-for-adopting-publisher-and-other-third-party-content" TargetMode="External"/><Relationship Id="rId38" Type="http://schemas.openxmlformats.org/officeDocument/2006/relationships/table" Target="../tables/table44.xml"/><Relationship Id="rId2" Type="http://schemas.openxmlformats.org/officeDocument/2006/relationships/hyperlink" Target="https://calstate.policystat.com/policy/9438890/latest" TargetMode="External"/><Relationship Id="rId16" Type="http://schemas.openxmlformats.org/officeDocument/2006/relationships/hyperlink" Target="https://sfsu.box.com/s/bsky7ph9alkefa7s8un3ksfc8lmyeb6i" TargetMode="External"/><Relationship Id="rId20" Type="http://schemas.openxmlformats.org/officeDocument/2006/relationships/hyperlink" Target="https://access.sfsu.edu/ati/procurement/procedure" TargetMode="External"/><Relationship Id="rId29" Type="http://schemas.openxmlformats.org/officeDocument/2006/relationships/hyperlink" Target="http://www.leginfo.ca.gov/pub/03-04/bill/sen/sb_0301-0350/sb_302_bill_20031011_chaptered.html" TargetMode="External"/><Relationship Id="rId1" Type="http://schemas.openxmlformats.org/officeDocument/2006/relationships/hyperlink" Target="https://calstate.policystat.com/policy/9798168/latest/" TargetMode="External"/><Relationship Id="rId6" Type="http://schemas.openxmlformats.org/officeDocument/2006/relationships/hyperlink" Target="https://adminfinance.fresnostate.edu/procurement/documents/Coded%20Memo%20AA200821--Accessible%20Technology%20Initiative06_12_08%20FINAL.pdf" TargetMode="External"/><Relationship Id="rId11" Type="http://schemas.openxmlformats.org/officeDocument/2006/relationships/hyperlink" Target="https://ati.calstate.edu/policy/implementation" TargetMode="External"/><Relationship Id="rId24" Type="http://schemas.openxmlformats.org/officeDocument/2006/relationships/hyperlink" Target="https://access.sfsu.edu/ati/instruction/publisher-content" TargetMode="External"/><Relationship Id="rId32" Type="http://schemas.openxmlformats.org/officeDocument/2006/relationships/hyperlink" Target="https://batv.quartexcollections.com/" TargetMode="External"/><Relationship Id="rId37" Type="http://schemas.openxmlformats.org/officeDocument/2006/relationships/table" Target="../tables/table43.xml"/><Relationship Id="rId5" Type="http://schemas.openxmlformats.org/officeDocument/2006/relationships/hyperlink" Target="https://www.calstate.edu/csu-system/administration/codedmemos/Academic%20Affairs%20Coded%20Memos/AA-2013-03.pdf" TargetMode="External"/><Relationship Id="rId15" Type="http://schemas.openxmlformats.org/officeDocument/2006/relationships/hyperlink" Target="https://sfsu.box.com/s/wib0kx0ns1n8ms6ojdkmyv2tgv40xgsn" TargetMode="External"/><Relationship Id="rId23" Type="http://schemas.openxmlformats.org/officeDocument/2006/relationships/hyperlink" Target="https://access.sfsu.edu/ati/instruction/" TargetMode="External"/><Relationship Id="rId28" Type="http://schemas.openxmlformats.org/officeDocument/2006/relationships/hyperlink" Target="https://access.sfsu.edu/ati/webaccess/webcontent" TargetMode="External"/><Relationship Id="rId36" Type="http://schemas.openxmlformats.org/officeDocument/2006/relationships/table" Target="../tables/table42.xml"/><Relationship Id="rId10" Type="http://schemas.openxmlformats.org/officeDocument/2006/relationships/hyperlink" Target="https://ati.calstate.edu/instructional-materials/policy" TargetMode="External"/><Relationship Id="rId19" Type="http://schemas.openxmlformats.org/officeDocument/2006/relationships/hyperlink" Target="https://procurement.sfsu.edu/buying" TargetMode="External"/><Relationship Id="rId31" Type="http://schemas.openxmlformats.org/officeDocument/2006/relationships/hyperlink" Target="https://grad.sfsu.edu/content/thesis-dissertation-guidelines" TargetMode="External"/><Relationship Id="rId4" Type="http://schemas.openxmlformats.org/officeDocument/2006/relationships/hyperlink" Target="https://www.csun.edu/sites/default/files/Web_Accessibility_Coded_Memo_0.pdf" TargetMode="External"/><Relationship Id="rId9" Type="http://schemas.openxmlformats.org/officeDocument/2006/relationships/hyperlink" Target="https://ati.calstate.edu/sites/default/files/documents/documents/ATI%20Memo%20March%202021.pdf" TargetMode="External"/><Relationship Id="rId14" Type="http://schemas.openxmlformats.org/officeDocument/2006/relationships/hyperlink" Target="https://sfsu.box.com/s/vmsjoperb4ptw0bxs3vboli5v5m1ca3k" TargetMode="External"/><Relationship Id="rId22" Type="http://schemas.openxmlformats.org/officeDocument/2006/relationships/hyperlink" Target="https://its.sfsu.edu/technologyacquisitionreview" TargetMode="External"/><Relationship Id="rId27" Type="http://schemas.openxmlformats.org/officeDocument/2006/relationships/hyperlink" Target="https://its.sfsu.edu/moving-your-site-to-production-checklist" TargetMode="External"/><Relationship Id="rId30" Type="http://schemas.openxmlformats.org/officeDocument/2006/relationships/hyperlink" Target="https://law.justia.com/codes/california/2011/gov/title-2/11135-11139.7/11135" TargetMode="External"/><Relationship Id="rId35" Type="http://schemas.openxmlformats.org/officeDocument/2006/relationships/table" Target="../tables/table41.xml"/><Relationship Id="rId8" Type="http://schemas.openxmlformats.org/officeDocument/2006/relationships/hyperlink" Target="https://www.calstate.edu/csu-system/administration/codedmemos/Academic%20Affairs%20Coded%20Memos/AA-2013-03.pdf" TargetMode="External"/><Relationship Id="rId3" Type="http://schemas.openxmlformats.org/officeDocument/2006/relationships/hyperlink" Target="https://www.calstate.edu/csu-system/administration/codedmemos/Academic%20Affairs%20Coded%20Memos/AA-2007-04.pdf" TargetMode="External"/></Relationships>
</file>

<file path=xl/worksheets/_rels/sheet8.xml.rels><?xml version="1.0" encoding="UTF-8" standalone="yes"?>
<Relationships xmlns="http://schemas.openxmlformats.org/package/2006/relationships"><Relationship Id="rId3" Type="http://schemas.openxmlformats.org/officeDocument/2006/relationships/table" Target="../tables/table48.xml"/><Relationship Id="rId7" Type="http://schemas.openxmlformats.org/officeDocument/2006/relationships/table" Target="../tables/table52.xml"/><Relationship Id="rId2" Type="http://schemas.openxmlformats.org/officeDocument/2006/relationships/table" Target="../tables/table47.xml"/><Relationship Id="rId1" Type="http://schemas.openxmlformats.org/officeDocument/2006/relationships/table" Target="../tables/table46.xml"/><Relationship Id="rId6" Type="http://schemas.openxmlformats.org/officeDocument/2006/relationships/table" Target="../tables/table51.xml"/><Relationship Id="rId5" Type="http://schemas.openxmlformats.org/officeDocument/2006/relationships/table" Target="../tables/table50.xml"/><Relationship Id="rId4" Type="http://schemas.openxmlformats.org/officeDocument/2006/relationships/table" Target="../tables/table49.xml"/></Relationships>
</file>

<file path=xl/worksheets/_rels/sheet9.xml.rels><?xml version="1.0" encoding="UTF-8" standalone="yes"?>
<Relationships xmlns="http://schemas.openxmlformats.org/package/2006/relationships"><Relationship Id="rId8" Type="http://schemas.openxmlformats.org/officeDocument/2006/relationships/table" Target="../tables/table55.xml"/><Relationship Id="rId3" Type="http://schemas.openxmlformats.org/officeDocument/2006/relationships/hyperlink" Target="https://access.sfsu.edu/ati/webaccess" TargetMode="External"/><Relationship Id="rId7" Type="http://schemas.openxmlformats.org/officeDocument/2006/relationships/table" Target="../tables/table54.xml"/><Relationship Id="rId2" Type="http://schemas.openxmlformats.org/officeDocument/2006/relationships/hyperlink" Target="https://its.sfsu.edu/moving-your-site-to-production-checklist" TargetMode="External"/><Relationship Id="rId1" Type="http://schemas.openxmlformats.org/officeDocument/2006/relationships/hyperlink" Target="http://drupal.sfsu.edu/checklist-moving-your-site-production%20is%20dead." TargetMode="External"/><Relationship Id="rId6" Type="http://schemas.openxmlformats.org/officeDocument/2006/relationships/table" Target="../tables/table53.xml"/><Relationship Id="rId11" Type="http://schemas.openxmlformats.org/officeDocument/2006/relationships/table" Target="../tables/table58.xml"/><Relationship Id="rId5" Type="http://schemas.openxmlformats.org/officeDocument/2006/relationships/hyperlink" Target="https://access.sfsu.edu/sites/default/files/documents/Web_Manual_Evaluation_Summary.docis%20dead" TargetMode="External"/><Relationship Id="rId10" Type="http://schemas.openxmlformats.org/officeDocument/2006/relationships/table" Target="../tables/table57.xml"/><Relationship Id="rId4" Type="http://schemas.openxmlformats.org/officeDocument/2006/relationships/hyperlink" Target="https://access.sfsu.edu/ati/webaccess" TargetMode="External"/><Relationship Id="rId9" Type="http://schemas.openxmlformats.org/officeDocument/2006/relationships/table" Target="../tables/table56.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61.xml"/><Relationship Id="rId2" Type="http://schemas.openxmlformats.org/officeDocument/2006/relationships/table" Target="../tables/table60.xml"/><Relationship Id="rId1" Type="http://schemas.openxmlformats.org/officeDocument/2006/relationships/table" Target="../tables/table59.xml"/><Relationship Id="rId4" Type="http://schemas.openxmlformats.org/officeDocument/2006/relationships/table" Target="../tables/table6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7BD9A-C8CB-4561-9DFA-0A7E7CECB014}">
  <dimension ref="A1:AR210"/>
  <sheetViews>
    <sheetView topLeftCell="A26" workbookViewId="0">
      <selection activeCell="B66" sqref="B66"/>
    </sheetView>
  </sheetViews>
  <sheetFormatPr defaultRowHeight="14.5" x14ac:dyDescent="0.35"/>
  <cols>
    <col min="1" max="1" width="8.36328125" bestFit="1" customWidth="1"/>
    <col min="2" max="2" width="80.7265625" bestFit="1" customWidth="1"/>
    <col min="3" max="3" width="59.7265625" bestFit="1" customWidth="1"/>
    <col min="4" max="4" width="80.7265625" style="199" bestFit="1" customWidth="1"/>
    <col min="5" max="5" width="80.7265625" bestFit="1" customWidth="1"/>
    <col min="6" max="6" width="12.81640625" bestFit="1" customWidth="1"/>
    <col min="7" max="7" width="48.08984375" bestFit="1" customWidth="1"/>
    <col min="8" max="9" width="80.7265625" bestFit="1" customWidth="1"/>
  </cols>
  <sheetData>
    <row r="1" spans="1:44" ht="58" customHeight="1" x14ac:dyDescent="0.35">
      <c r="A1" s="243" t="s">
        <v>0</v>
      </c>
      <c r="B1" s="243"/>
      <c r="C1" s="236"/>
      <c r="D1" s="200"/>
      <c r="E1" s="236"/>
      <c r="F1" s="236"/>
      <c r="G1" s="236"/>
      <c r="H1" s="236"/>
      <c r="I1" s="236"/>
      <c r="J1" s="236"/>
      <c r="K1" s="236"/>
      <c r="L1" s="236"/>
      <c r="M1" s="236"/>
      <c r="N1" s="236"/>
      <c r="O1" s="236"/>
      <c r="P1" s="236"/>
      <c r="Q1" s="236"/>
      <c r="R1" s="236"/>
      <c r="S1" s="236"/>
      <c r="T1" s="236"/>
      <c r="U1" s="236"/>
      <c r="V1" s="236"/>
      <c r="W1" s="236"/>
      <c r="X1" s="236"/>
      <c r="Y1" s="236"/>
      <c r="Z1" s="236"/>
      <c r="AA1" s="236"/>
      <c r="AB1" s="236"/>
      <c r="AC1" s="236"/>
      <c r="AD1" s="236"/>
    </row>
    <row r="2" spans="1:44" ht="239.5" customHeight="1" x14ac:dyDescent="0.35">
      <c r="A2" s="235"/>
      <c r="B2" s="244" t="s">
        <v>1</v>
      </c>
      <c r="C2" s="244"/>
      <c r="D2" s="200"/>
      <c r="E2" s="236"/>
      <c r="F2" s="236"/>
      <c r="G2" s="236"/>
      <c r="H2" s="236"/>
      <c r="I2" s="236"/>
      <c r="J2" s="236"/>
      <c r="K2" s="236"/>
      <c r="L2" s="236"/>
      <c r="M2" s="236"/>
      <c r="N2" s="236"/>
      <c r="O2" s="236"/>
      <c r="P2" s="236"/>
      <c r="Q2" s="236"/>
      <c r="R2" s="236"/>
      <c r="S2" s="236"/>
      <c r="T2" s="236"/>
      <c r="U2" s="236"/>
      <c r="V2" s="236"/>
      <c r="W2" s="236"/>
      <c r="X2" s="236"/>
      <c r="Y2" s="236"/>
      <c r="Z2" s="236"/>
      <c r="AA2" s="236"/>
      <c r="AB2" s="236"/>
      <c r="AC2" s="236"/>
      <c r="AD2" s="236"/>
    </row>
    <row r="3" spans="1:44" ht="40.5" customHeight="1" x14ac:dyDescent="0.35">
      <c r="A3" s="235"/>
      <c r="B3" s="201" t="s">
        <v>2</v>
      </c>
      <c r="C3" s="236"/>
      <c r="D3" s="200"/>
      <c r="E3" s="236"/>
      <c r="F3" s="236"/>
      <c r="G3" s="236"/>
      <c r="H3" s="236"/>
      <c r="I3" s="236"/>
      <c r="J3" s="236"/>
      <c r="K3" s="236"/>
      <c r="L3" s="236"/>
      <c r="M3" s="236"/>
      <c r="N3" s="236"/>
      <c r="O3" s="236"/>
      <c r="P3" s="236"/>
      <c r="Q3" s="236"/>
      <c r="R3" s="236"/>
      <c r="S3" s="236"/>
      <c r="T3" s="236"/>
      <c r="U3" s="236"/>
      <c r="V3" s="236"/>
      <c r="W3" s="236"/>
      <c r="X3" s="236"/>
      <c r="Y3" s="236"/>
      <c r="Z3" s="236"/>
      <c r="AA3" s="236"/>
      <c r="AB3" s="236"/>
      <c r="AC3" s="236"/>
      <c r="AD3" s="236"/>
    </row>
    <row r="4" spans="1:44" ht="14.15" customHeight="1" x14ac:dyDescent="0.35">
      <c r="A4" s="236"/>
      <c r="B4" s="236"/>
      <c r="C4" s="236"/>
      <c r="D4" s="200"/>
      <c r="E4" s="236"/>
      <c r="F4" s="236"/>
      <c r="G4" s="236"/>
      <c r="H4" s="236"/>
      <c r="I4" s="236"/>
      <c r="J4" s="236"/>
      <c r="K4" s="236"/>
      <c r="L4" s="236"/>
      <c r="M4" s="236"/>
      <c r="N4" s="236"/>
      <c r="O4" s="236"/>
      <c r="P4" s="236"/>
      <c r="Q4" s="236"/>
      <c r="R4" s="236"/>
      <c r="S4" s="218"/>
      <c r="T4" s="218"/>
      <c r="U4" s="218"/>
      <c r="V4" s="218"/>
      <c r="W4" s="218"/>
      <c r="X4" s="218"/>
      <c r="Y4" s="218"/>
      <c r="Z4" s="218"/>
      <c r="AA4" s="218"/>
      <c r="AB4" s="218"/>
      <c r="AC4" s="218"/>
      <c r="AD4" s="218"/>
      <c r="AE4" s="219"/>
      <c r="AF4" s="219"/>
      <c r="AG4" s="219"/>
      <c r="AH4" s="219"/>
      <c r="AI4" s="219"/>
      <c r="AJ4" s="219"/>
      <c r="AK4" s="219"/>
      <c r="AL4" s="219"/>
      <c r="AM4" s="219"/>
      <c r="AN4" s="219"/>
      <c r="AO4" s="219"/>
      <c r="AP4" s="219"/>
      <c r="AQ4" s="219"/>
      <c r="AR4" s="219"/>
    </row>
    <row r="5" spans="1:44" x14ac:dyDescent="0.35">
      <c r="A5" t="s">
        <v>3</v>
      </c>
      <c r="B5" t="s">
        <v>4</v>
      </c>
      <c r="C5" t="s">
        <v>5</v>
      </c>
      <c r="D5" t="s">
        <v>6</v>
      </c>
      <c r="E5" t="s">
        <v>7</v>
      </c>
      <c r="F5" t="s">
        <v>8</v>
      </c>
      <c r="G5" t="s">
        <v>9</v>
      </c>
      <c r="H5" t="s">
        <v>10</v>
      </c>
      <c r="I5" t="s">
        <v>11</v>
      </c>
      <c r="J5" s="236"/>
      <c r="K5" s="236"/>
      <c r="L5" s="236"/>
      <c r="M5" s="236"/>
      <c r="N5" s="236"/>
      <c r="O5" s="236"/>
      <c r="P5" s="236"/>
      <c r="Q5" s="236"/>
      <c r="R5" s="236"/>
      <c r="S5" s="218"/>
      <c r="T5" s="218"/>
      <c r="U5" s="218"/>
      <c r="V5" s="218"/>
      <c r="W5" s="218"/>
      <c r="X5" s="218"/>
      <c r="Y5" s="218"/>
      <c r="Z5" s="218"/>
      <c r="AA5" s="218"/>
      <c r="AB5" s="218"/>
      <c r="AC5" s="218"/>
      <c r="AD5" s="218"/>
      <c r="AE5" s="219"/>
      <c r="AF5" s="219"/>
      <c r="AG5" s="219"/>
      <c r="AH5" s="219"/>
      <c r="AI5" s="219"/>
      <c r="AJ5" s="219"/>
      <c r="AK5" s="219"/>
      <c r="AL5" s="219"/>
      <c r="AM5" s="219"/>
      <c r="AN5" s="219"/>
      <c r="AO5" s="219"/>
      <c r="AP5" s="219"/>
      <c r="AQ5" s="219"/>
      <c r="AR5" s="219"/>
    </row>
    <row r="6" spans="1:44" ht="29" x14ac:dyDescent="0.35">
      <c r="A6" s="222">
        <v>9.1999999999999993</v>
      </c>
      <c r="B6" s="224" t="s">
        <v>12</v>
      </c>
      <c r="C6" s="226" t="s">
        <v>13</v>
      </c>
      <c r="D6" s="224" t="s">
        <v>14</v>
      </c>
      <c r="E6" s="228"/>
      <c r="F6" s="230" t="s">
        <v>15</v>
      </c>
      <c r="G6" s="233"/>
      <c r="H6" s="228"/>
      <c r="I6" s="230" t="s">
        <v>16</v>
      </c>
      <c r="J6" s="236"/>
      <c r="K6" s="236"/>
      <c r="L6" s="236"/>
      <c r="M6" s="236"/>
      <c r="N6" s="236"/>
      <c r="O6" s="236"/>
      <c r="P6" s="236"/>
      <c r="Q6" s="236"/>
      <c r="R6" s="236"/>
      <c r="S6" s="218"/>
      <c r="T6" s="218"/>
      <c r="U6" s="218"/>
      <c r="V6" s="218"/>
      <c r="W6" s="218"/>
      <c r="X6" s="218"/>
      <c r="Y6" s="218"/>
      <c r="Z6" s="218"/>
      <c r="AA6" s="218"/>
      <c r="AB6" s="218"/>
      <c r="AC6" s="218"/>
      <c r="AD6" s="218"/>
      <c r="AE6" s="219"/>
      <c r="AF6" s="219"/>
      <c r="AG6" s="219"/>
      <c r="AH6" s="219"/>
      <c r="AI6" s="219"/>
      <c r="AJ6" s="219"/>
      <c r="AK6" s="219"/>
      <c r="AL6" s="219"/>
      <c r="AM6" s="219"/>
      <c r="AN6" s="219"/>
      <c r="AO6" s="219"/>
      <c r="AP6" s="219"/>
      <c r="AQ6" s="219"/>
      <c r="AR6" s="219"/>
    </row>
    <row r="7" spans="1:44" ht="29" x14ac:dyDescent="0.35">
      <c r="A7" s="202">
        <v>9.3000000000000007</v>
      </c>
      <c r="B7" s="203" t="s">
        <v>17</v>
      </c>
      <c r="C7" s="204" t="s">
        <v>13</v>
      </c>
      <c r="D7" s="203" t="s">
        <v>14</v>
      </c>
      <c r="E7" s="205"/>
      <c r="F7" s="206" t="s">
        <v>15</v>
      </c>
      <c r="G7" s="232"/>
      <c r="H7" s="205"/>
      <c r="I7" s="206" t="s">
        <v>16</v>
      </c>
      <c r="J7" s="236"/>
      <c r="K7" s="236"/>
      <c r="L7" s="236"/>
      <c r="M7" s="236"/>
      <c r="N7" s="236"/>
      <c r="O7" s="236"/>
      <c r="P7" s="236"/>
      <c r="Q7" s="236"/>
      <c r="R7" s="236"/>
      <c r="S7" s="218"/>
      <c r="T7" s="218"/>
      <c r="U7" s="218"/>
      <c r="V7" s="218"/>
      <c r="W7" s="218"/>
      <c r="X7" s="218"/>
      <c r="Y7" s="218"/>
      <c r="Z7" s="218"/>
      <c r="AA7" s="218"/>
      <c r="AB7" s="218"/>
      <c r="AC7" s="218"/>
      <c r="AD7" s="218"/>
      <c r="AE7" s="219"/>
      <c r="AF7" s="219"/>
      <c r="AG7" s="219"/>
      <c r="AH7" s="219"/>
      <c r="AI7" s="219"/>
      <c r="AJ7" s="219"/>
      <c r="AK7" s="219"/>
      <c r="AL7" s="219"/>
      <c r="AM7" s="219"/>
      <c r="AN7" s="219"/>
      <c r="AO7" s="219"/>
      <c r="AP7" s="219"/>
      <c r="AQ7" s="219"/>
      <c r="AR7" s="219"/>
    </row>
    <row r="8" spans="1:44" ht="29" x14ac:dyDescent="0.35">
      <c r="A8" s="202">
        <v>4.1100000000000003</v>
      </c>
      <c r="B8" s="203" t="s">
        <v>18</v>
      </c>
      <c r="C8" s="204" t="s">
        <v>19</v>
      </c>
      <c r="D8" s="203" t="s">
        <v>15</v>
      </c>
      <c r="E8" s="205"/>
      <c r="F8" s="206" t="s">
        <v>15</v>
      </c>
      <c r="G8" s="232"/>
      <c r="H8" s="205"/>
      <c r="I8" s="206"/>
      <c r="J8" s="236"/>
      <c r="K8" s="236"/>
      <c r="L8" s="236"/>
      <c r="M8" s="236"/>
      <c r="N8" s="236"/>
      <c r="O8" s="236"/>
      <c r="P8" s="236"/>
      <c r="Q8" s="236"/>
      <c r="R8" s="236"/>
      <c r="S8" s="218"/>
      <c r="T8" s="218"/>
      <c r="U8" s="218"/>
      <c r="V8" s="218"/>
      <c r="W8" s="218"/>
      <c r="X8" s="218"/>
      <c r="Y8" s="218"/>
      <c r="Z8" s="218"/>
      <c r="AA8" s="218"/>
      <c r="AB8" s="218"/>
      <c r="AC8" s="218"/>
      <c r="AD8" s="218"/>
      <c r="AE8" s="219"/>
      <c r="AF8" s="219"/>
      <c r="AG8" s="219"/>
      <c r="AH8" s="219"/>
      <c r="AI8" s="219"/>
      <c r="AJ8" s="219"/>
      <c r="AK8" s="219"/>
      <c r="AL8" s="219"/>
      <c r="AM8" s="219"/>
      <c r="AN8" s="219"/>
      <c r="AO8" s="219"/>
      <c r="AP8" s="219"/>
      <c r="AQ8" s="219"/>
      <c r="AR8" s="219"/>
    </row>
    <row r="9" spans="1:44" ht="29" x14ac:dyDescent="0.35">
      <c r="A9" s="202">
        <v>6.9</v>
      </c>
      <c r="B9" s="203" t="s">
        <v>20</v>
      </c>
      <c r="C9" s="204" t="s">
        <v>19</v>
      </c>
      <c r="D9" s="203" t="s">
        <v>21</v>
      </c>
      <c r="E9" s="205"/>
      <c r="F9" s="206" t="s">
        <v>15</v>
      </c>
      <c r="G9" s="232"/>
      <c r="H9" s="205"/>
      <c r="I9" s="206"/>
      <c r="J9" s="236"/>
      <c r="K9" s="236"/>
      <c r="L9" s="236"/>
      <c r="M9" s="236"/>
      <c r="N9" s="236"/>
      <c r="O9" s="236"/>
      <c r="P9" s="236"/>
      <c r="Q9" s="236"/>
      <c r="R9" s="236"/>
      <c r="S9" s="218"/>
      <c r="T9" s="218"/>
      <c r="U9" s="218"/>
      <c r="V9" s="218"/>
      <c r="W9" s="218"/>
      <c r="X9" s="218"/>
      <c r="Y9" s="218"/>
      <c r="Z9" s="218"/>
      <c r="AA9" s="218"/>
      <c r="AB9" s="218"/>
      <c r="AC9" s="218"/>
      <c r="AD9" s="218"/>
      <c r="AE9" s="219"/>
      <c r="AF9" s="219"/>
      <c r="AG9" s="219"/>
      <c r="AH9" s="219"/>
      <c r="AI9" s="219"/>
      <c r="AJ9" s="219"/>
      <c r="AK9" s="219"/>
      <c r="AL9" s="219"/>
      <c r="AM9" s="219"/>
      <c r="AN9" s="219"/>
      <c r="AO9" s="219"/>
      <c r="AP9" s="219"/>
      <c r="AQ9" s="219"/>
      <c r="AR9" s="219"/>
    </row>
    <row r="10" spans="1:44" ht="43.5" x14ac:dyDescent="0.35">
      <c r="A10" s="202">
        <v>5.0999999999999996</v>
      </c>
      <c r="B10" s="203" t="s">
        <v>22</v>
      </c>
      <c r="C10" s="204" t="s">
        <v>23</v>
      </c>
      <c r="D10" s="203" t="s">
        <v>24</v>
      </c>
      <c r="E10" s="205" t="s">
        <v>25</v>
      </c>
      <c r="F10" s="206" t="s">
        <v>15</v>
      </c>
      <c r="G10" s="232"/>
      <c r="H10" s="205" t="s">
        <v>631</v>
      </c>
      <c r="I10" s="206"/>
      <c r="J10" s="236"/>
      <c r="K10" s="236"/>
      <c r="L10" s="236"/>
      <c r="M10" s="236"/>
      <c r="N10" s="236"/>
      <c r="O10" s="236"/>
      <c r="P10" s="236"/>
      <c r="Q10" s="236"/>
      <c r="R10" s="236"/>
      <c r="S10" s="218"/>
      <c r="T10" s="218"/>
      <c r="U10" s="218"/>
      <c r="V10" s="218"/>
      <c r="W10" s="218"/>
      <c r="X10" s="218"/>
      <c r="Y10" s="218"/>
      <c r="Z10" s="218"/>
      <c r="AA10" s="218"/>
      <c r="AB10" s="218"/>
      <c r="AC10" s="218"/>
      <c r="AD10" s="218"/>
      <c r="AE10" s="219"/>
      <c r="AF10" s="219"/>
      <c r="AG10" s="219"/>
      <c r="AH10" s="219"/>
      <c r="AI10" s="219"/>
      <c r="AJ10" s="219"/>
      <c r="AK10" s="219"/>
      <c r="AL10" s="219"/>
      <c r="AM10" s="219"/>
      <c r="AN10" s="219"/>
      <c r="AO10" s="219"/>
      <c r="AP10" s="219"/>
      <c r="AQ10" s="219"/>
      <c r="AR10" s="219"/>
    </row>
    <row r="11" spans="1:44" ht="29" x14ac:dyDescent="0.35">
      <c r="A11" s="202">
        <v>1.1000000000000001</v>
      </c>
      <c r="B11" s="203" t="s">
        <v>26</v>
      </c>
      <c r="C11" s="204" t="s">
        <v>23</v>
      </c>
      <c r="D11" s="203" t="s">
        <v>27</v>
      </c>
      <c r="E11" s="205" t="s">
        <v>28</v>
      </c>
      <c r="F11" s="206" t="s">
        <v>15</v>
      </c>
      <c r="G11" s="232"/>
      <c r="H11" s="205"/>
      <c r="I11" s="206" t="s">
        <v>29</v>
      </c>
      <c r="J11" s="236"/>
      <c r="K11" s="236"/>
      <c r="L11" s="236"/>
      <c r="M11" s="236"/>
      <c r="N11" s="236"/>
      <c r="O11" s="236"/>
      <c r="P11" s="236"/>
      <c r="Q11" s="236"/>
      <c r="R11" s="236"/>
      <c r="S11" s="218"/>
      <c r="T11" s="218"/>
      <c r="U11" s="218"/>
      <c r="V11" s="218"/>
      <c r="W11" s="218"/>
      <c r="X11" s="218"/>
      <c r="Y11" s="218"/>
      <c r="Z11" s="218"/>
      <c r="AA11" s="218"/>
      <c r="AB11" s="218"/>
      <c r="AC11" s="218"/>
      <c r="AD11" s="218"/>
      <c r="AE11" s="219"/>
      <c r="AF11" s="219"/>
      <c r="AG11" s="219"/>
      <c r="AH11" s="219"/>
      <c r="AI11" s="219"/>
      <c r="AJ11" s="219"/>
      <c r="AK11" s="219"/>
      <c r="AL11" s="219"/>
      <c r="AM11" s="219"/>
      <c r="AN11" s="219"/>
      <c r="AO11" s="219"/>
      <c r="AP11" s="219"/>
      <c r="AQ11" s="219"/>
      <c r="AR11" s="219"/>
    </row>
    <row r="12" spans="1:44" ht="43.5" x14ac:dyDescent="0.35">
      <c r="A12" s="202">
        <v>5.14</v>
      </c>
      <c r="B12" s="203" t="s">
        <v>30</v>
      </c>
      <c r="C12" s="204" t="s">
        <v>31</v>
      </c>
      <c r="D12" s="203" t="s">
        <v>32</v>
      </c>
      <c r="E12" s="205"/>
      <c r="F12" s="206" t="s">
        <v>33</v>
      </c>
      <c r="G12" s="232"/>
      <c r="H12" s="205"/>
      <c r="I12" s="206"/>
      <c r="J12" s="236"/>
      <c r="K12" s="236"/>
      <c r="L12" s="236"/>
      <c r="M12" s="236"/>
      <c r="N12" s="236"/>
      <c r="O12" s="236"/>
      <c r="P12" s="236"/>
      <c r="Q12" s="236"/>
      <c r="R12" s="236"/>
      <c r="S12" s="218"/>
      <c r="T12" s="218"/>
      <c r="U12" s="218"/>
      <c r="V12" s="218"/>
      <c r="W12" s="218"/>
      <c r="X12" s="218"/>
      <c r="Y12" s="218"/>
      <c r="Z12" s="218"/>
      <c r="AA12" s="218"/>
      <c r="AB12" s="218"/>
      <c r="AC12" s="218"/>
      <c r="AD12" s="218"/>
      <c r="AE12" s="219"/>
      <c r="AF12" s="219"/>
      <c r="AG12" s="219"/>
      <c r="AH12" s="219"/>
      <c r="AI12" s="219"/>
      <c r="AJ12" s="219"/>
      <c r="AK12" s="219"/>
      <c r="AL12" s="219"/>
      <c r="AM12" s="219"/>
      <c r="AN12" s="219"/>
      <c r="AO12" s="219"/>
      <c r="AP12" s="219"/>
      <c r="AQ12" s="219"/>
      <c r="AR12" s="219"/>
    </row>
    <row r="13" spans="1:44" ht="43.5" x14ac:dyDescent="0.35">
      <c r="A13" s="202">
        <v>6.3</v>
      </c>
      <c r="B13" s="203" t="s">
        <v>34</v>
      </c>
      <c r="C13" s="204" t="s">
        <v>31</v>
      </c>
      <c r="D13" s="203" t="s">
        <v>35</v>
      </c>
      <c r="E13" s="205"/>
      <c r="F13" s="206" t="s">
        <v>33</v>
      </c>
      <c r="G13" s="232"/>
      <c r="H13" s="205"/>
      <c r="I13" s="206"/>
      <c r="J13" s="236"/>
      <c r="K13" s="236"/>
      <c r="L13" s="236"/>
      <c r="M13" s="236"/>
      <c r="N13" s="236"/>
      <c r="O13" s="236"/>
      <c r="P13" s="236"/>
      <c r="Q13" s="236"/>
      <c r="R13" s="236"/>
      <c r="S13" s="218"/>
      <c r="T13" s="218"/>
      <c r="U13" s="218"/>
      <c r="V13" s="218"/>
      <c r="W13" s="218"/>
      <c r="X13" s="218"/>
      <c r="Y13" s="218"/>
      <c r="Z13" s="218"/>
      <c r="AA13" s="218"/>
      <c r="AB13" s="218"/>
      <c r="AC13" s="218"/>
      <c r="AD13" s="218"/>
      <c r="AE13" s="219"/>
      <c r="AF13" s="219"/>
      <c r="AG13" s="219"/>
      <c r="AH13" s="219"/>
      <c r="AI13" s="219"/>
      <c r="AJ13" s="219"/>
      <c r="AK13" s="219"/>
      <c r="AL13" s="219"/>
      <c r="AM13" s="219"/>
      <c r="AN13" s="219"/>
      <c r="AO13" s="219"/>
      <c r="AP13" s="219"/>
      <c r="AQ13" s="219"/>
      <c r="AR13" s="219"/>
    </row>
    <row r="14" spans="1:44" ht="29" x14ac:dyDescent="0.35">
      <c r="A14" s="202">
        <v>8.1</v>
      </c>
      <c r="B14" s="203" t="s">
        <v>36</v>
      </c>
      <c r="C14" s="204" t="s">
        <v>31</v>
      </c>
      <c r="D14" s="203" t="s">
        <v>37</v>
      </c>
      <c r="E14" s="205"/>
      <c r="F14" s="206" t="s">
        <v>38</v>
      </c>
      <c r="G14" s="232"/>
      <c r="H14" s="205"/>
      <c r="I14" s="206"/>
      <c r="J14" s="236"/>
      <c r="K14" s="236"/>
      <c r="L14" s="236"/>
      <c r="M14" s="236"/>
      <c r="N14" s="236"/>
      <c r="O14" s="236"/>
      <c r="P14" s="236"/>
      <c r="Q14" s="236"/>
      <c r="R14" s="236"/>
      <c r="S14" s="218"/>
      <c r="T14" s="218"/>
      <c r="U14" s="218"/>
      <c r="V14" s="218"/>
      <c r="W14" s="218"/>
      <c r="X14" s="218"/>
      <c r="Y14" s="218"/>
      <c r="Z14" s="218"/>
      <c r="AA14" s="218"/>
      <c r="AB14" s="218"/>
      <c r="AC14" s="218"/>
      <c r="AD14" s="218"/>
      <c r="AE14" s="219"/>
      <c r="AF14" s="219"/>
      <c r="AG14" s="219"/>
      <c r="AH14" s="219"/>
      <c r="AI14" s="219"/>
      <c r="AJ14" s="219"/>
      <c r="AK14" s="219"/>
      <c r="AL14" s="219"/>
      <c r="AM14" s="219"/>
      <c r="AN14" s="219"/>
      <c r="AO14" s="219"/>
      <c r="AP14" s="219"/>
      <c r="AQ14" s="219"/>
      <c r="AR14" s="219"/>
    </row>
    <row r="15" spans="1:44" ht="29" x14ac:dyDescent="0.35">
      <c r="A15" s="202">
        <v>8.11</v>
      </c>
      <c r="B15" s="203" t="s">
        <v>39</v>
      </c>
      <c r="C15" s="204" t="s">
        <v>31</v>
      </c>
      <c r="D15" s="203" t="s">
        <v>40</v>
      </c>
      <c r="E15" s="205" t="s">
        <v>41</v>
      </c>
      <c r="F15" s="206" t="s">
        <v>42</v>
      </c>
      <c r="G15" s="232"/>
      <c r="H15" s="205"/>
      <c r="I15" s="206"/>
      <c r="J15" s="236"/>
      <c r="K15" s="236"/>
      <c r="L15" s="236"/>
      <c r="M15" s="236"/>
      <c r="N15" s="236"/>
      <c r="O15" s="236"/>
      <c r="P15" s="236"/>
      <c r="Q15" s="236"/>
      <c r="R15" s="236"/>
      <c r="S15" s="218"/>
      <c r="T15" s="218"/>
      <c r="U15" s="218"/>
      <c r="V15" s="218"/>
      <c r="W15" s="218"/>
      <c r="X15" s="218"/>
      <c r="Y15" s="218"/>
      <c r="Z15" s="218"/>
      <c r="AA15" s="218"/>
      <c r="AB15" s="218"/>
      <c r="AC15" s="218"/>
      <c r="AD15" s="218"/>
      <c r="AE15" s="219"/>
      <c r="AF15" s="219"/>
      <c r="AG15" s="219"/>
      <c r="AH15" s="219"/>
      <c r="AI15" s="219"/>
      <c r="AJ15" s="219"/>
      <c r="AK15" s="219"/>
      <c r="AL15" s="219"/>
      <c r="AM15" s="219"/>
      <c r="AN15" s="219"/>
      <c r="AO15" s="219"/>
      <c r="AP15" s="219"/>
      <c r="AQ15" s="219"/>
      <c r="AR15" s="219"/>
    </row>
    <row r="16" spans="1:44" ht="43.5" x14ac:dyDescent="0.35">
      <c r="A16" s="202">
        <v>8.14</v>
      </c>
      <c r="B16" s="203" t="s">
        <v>43</v>
      </c>
      <c r="C16" s="204" t="s">
        <v>31</v>
      </c>
      <c r="D16" s="203" t="s">
        <v>44</v>
      </c>
      <c r="E16" s="205"/>
      <c r="F16" s="206" t="s">
        <v>38</v>
      </c>
      <c r="G16" s="232"/>
      <c r="H16" s="205"/>
      <c r="I16" s="206"/>
      <c r="J16" s="236"/>
      <c r="K16" s="236"/>
      <c r="L16" s="236"/>
      <c r="M16" s="236"/>
      <c r="N16" s="236"/>
      <c r="O16" s="236"/>
      <c r="P16" s="236"/>
      <c r="Q16" s="236"/>
      <c r="R16" s="236"/>
      <c r="S16" s="218"/>
      <c r="T16" s="218"/>
      <c r="U16" s="218"/>
      <c r="V16" s="218"/>
      <c r="W16" s="218"/>
      <c r="X16" s="218"/>
      <c r="Y16" s="218"/>
      <c r="Z16" s="218"/>
      <c r="AA16" s="218"/>
      <c r="AB16" s="218"/>
      <c r="AC16" s="218"/>
      <c r="AD16" s="218"/>
      <c r="AE16" s="219"/>
      <c r="AF16" s="219"/>
      <c r="AG16" s="219"/>
      <c r="AH16" s="219"/>
      <c r="AI16" s="219"/>
      <c r="AJ16" s="219"/>
      <c r="AK16" s="219"/>
      <c r="AL16" s="219"/>
      <c r="AM16" s="219"/>
      <c r="AN16" s="219"/>
      <c r="AO16" s="219"/>
      <c r="AP16" s="219"/>
      <c r="AQ16" s="219"/>
      <c r="AR16" s="219"/>
    </row>
    <row r="17" spans="1:44" ht="87" x14ac:dyDescent="0.35">
      <c r="A17" s="202">
        <v>5.0999999999999996</v>
      </c>
      <c r="B17" s="203" t="s">
        <v>45</v>
      </c>
      <c r="C17" s="204" t="s">
        <v>46</v>
      </c>
      <c r="D17" s="203" t="s">
        <v>47</v>
      </c>
      <c r="E17" s="205" t="s">
        <v>48</v>
      </c>
      <c r="F17" s="206" t="s">
        <v>42</v>
      </c>
      <c r="G17" s="232"/>
      <c r="H17" s="205" t="s">
        <v>629</v>
      </c>
      <c r="I17" s="206"/>
      <c r="J17" s="236"/>
      <c r="K17" s="236"/>
      <c r="L17" s="236"/>
      <c r="M17" s="236"/>
      <c r="N17" s="236"/>
      <c r="O17" s="236"/>
      <c r="P17" s="236"/>
      <c r="Q17" s="236"/>
      <c r="R17" s="236"/>
      <c r="S17" s="218"/>
      <c r="T17" s="218"/>
      <c r="U17" s="218"/>
      <c r="V17" s="218"/>
      <c r="W17" s="218"/>
      <c r="X17" s="218"/>
      <c r="Y17" s="218"/>
      <c r="Z17" s="218"/>
      <c r="AA17" s="218"/>
      <c r="AB17" s="218"/>
      <c r="AC17" s="218"/>
      <c r="AD17" s="218"/>
      <c r="AE17" s="219"/>
      <c r="AF17" s="219"/>
      <c r="AG17" s="219"/>
      <c r="AH17" s="219"/>
      <c r="AI17" s="219"/>
      <c r="AJ17" s="219"/>
      <c r="AK17" s="219"/>
      <c r="AL17" s="219"/>
      <c r="AM17" s="219"/>
      <c r="AN17" s="219"/>
      <c r="AO17" s="219"/>
      <c r="AP17" s="219"/>
      <c r="AQ17" s="219"/>
      <c r="AR17" s="219"/>
    </row>
    <row r="18" spans="1:44" ht="43.5" x14ac:dyDescent="0.35">
      <c r="A18" s="202">
        <v>5.2</v>
      </c>
      <c r="B18" s="203" t="s">
        <v>49</v>
      </c>
      <c r="C18" s="204" t="s">
        <v>46</v>
      </c>
      <c r="D18" s="203" t="s">
        <v>50</v>
      </c>
      <c r="E18" s="205"/>
      <c r="F18" s="206" t="s">
        <v>42</v>
      </c>
      <c r="G18" s="232" t="s">
        <v>618</v>
      </c>
      <c r="H18" s="241" t="s">
        <v>51</v>
      </c>
      <c r="I18" s="206"/>
      <c r="J18" s="236"/>
      <c r="K18" s="236"/>
      <c r="L18" s="236"/>
      <c r="M18" s="236"/>
      <c r="N18" s="236"/>
      <c r="O18" s="236"/>
      <c r="P18" s="236"/>
      <c r="Q18" s="236"/>
      <c r="R18" s="236"/>
      <c r="S18" s="218"/>
      <c r="T18" s="218"/>
      <c r="U18" s="218"/>
      <c r="V18" s="218"/>
      <c r="W18" s="218"/>
      <c r="X18" s="218"/>
      <c r="Y18" s="218"/>
      <c r="Z18" s="218"/>
      <c r="AA18" s="218"/>
      <c r="AB18" s="218"/>
      <c r="AC18" s="218"/>
      <c r="AD18" s="218"/>
      <c r="AE18" s="219"/>
      <c r="AF18" s="219"/>
      <c r="AG18" s="219"/>
      <c r="AH18" s="219"/>
      <c r="AI18" s="219"/>
      <c r="AJ18" s="219"/>
      <c r="AK18" s="219"/>
      <c r="AL18" s="219"/>
      <c r="AM18" s="219"/>
      <c r="AN18" s="219"/>
      <c r="AO18" s="219"/>
      <c r="AP18" s="219"/>
      <c r="AQ18" s="219"/>
      <c r="AR18" s="219"/>
    </row>
    <row r="19" spans="1:44" ht="29" x14ac:dyDescent="0.35">
      <c r="A19" s="202">
        <v>5.3</v>
      </c>
      <c r="B19" s="203" t="s">
        <v>52</v>
      </c>
      <c r="C19" s="204" t="s">
        <v>46</v>
      </c>
      <c r="D19" s="203" t="s">
        <v>53</v>
      </c>
      <c r="E19" s="205" t="s">
        <v>54</v>
      </c>
      <c r="F19" s="206" t="s">
        <v>42</v>
      </c>
      <c r="G19" s="232"/>
      <c r="H19" s="205" t="s">
        <v>51</v>
      </c>
      <c r="I19" s="206"/>
      <c r="J19" s="236"/>
      <c r="K19" s="236"/>
      <c r="L19" s="236"/>
      <c r="M19" s="236"/>
      <c r="N19" s="236"/>
      <c r="O19" s="236"/>
      <c r="P19" s="236"/>
      <c r="Q19" s="236"/>
      <c r="R19" s="236"/>
      <c r="S19" s="218"/>
      <c r="T19" s="218"/>
      <c r="U19" s="218"/>
      <c r="V19" s="218"/>
      <c r="W19" s="218"/>
      <c r="X19" s="218"/>
      <c r="Y19" s="218"/>
      <c r="Z19" s="218"/>
      <c r="AA19" s="218"/>
      <c r="AB19" s="218"/>
      <c r="AC19" s="218"/>
      <c r="AD19" s="218"/>
      <c r="AE19" s="219"/>
      <c r="AF19" s="219"/>
      <c r="AG19" s="219"/>
      <c r="AH19" s="219"/>
      <c r="AI19" s="219"/>
      <c r="AJ19" s="219"/>
      <c r="AK19" s="219"/>
      <c r="AL19" s="219"/>
      <c r="AM19" s="219"/>
      <c r="AN19" s="219"/>
      <c r="AO19" s="219"/>
      <c r="AP19" s="219"/>
      <c r="AQ19" s="219"/>
      <c r="AR19" s="219"/>
    </row>
    <row r="20" spans="1:44" ht="43.5" x14ac:dyDescent="0.35">
      <c r="A20" s="202">
        <v>5.4</v>
      </c>
      <c r="B20" s="203" t="s">
        <v>55</v>
      </c>
      <c r="C20" s="204" t="s">
        <v>46</v>
      </c>
      <c r="D20" s="203" t="s">
        <v>56</v>
      </c>
      <c r="E20" s="205" t="s">
        <v>57</v>
      </c>
      <c r="F20" s="206" t="s">
        <v>15</v>
      </c>
      <c r="G20" s="232" t="s">
        <v>614</v>
      </c>
      <c r="H20" s="205"/>
      <c r="I20" s="206"/>
      <c r="J20" s="236"/>
      <c r="K20" s="236"/>
      <c r="L20" s="236"/>
      <c r="M20" s="236"/>
      <c r="N20" s="236"/>
      <c r="O20" s="236"/>
      <c r="P20" s="236"/>
      <c r="Q20" s="236"/>
      <c r="R20" s="236"/>
      <c r="S20" s="218"/>
      <c r="T20" s="218"/>
      <c r="U20" s="218"/>
      <c r="V20" s="218"/>
      <c r="W20" s="218"/>
      <c r="X20" s="218"/>
      <c r="Y20" s="218"/>
      <c r="Z20" s="218"/>
      <c r="AA20" s="218"/>
      <c r="AB20" s="218"/>
      <c r="AC20" s="218"/>
      <c r="AD20" s="218"/>
      <c r="AE20" s="219"/>
      <c r="AF20" s="219"/>
      <c r="AG20" s="219"/>
      <c r="AH20" s="219"/>
      <c r="AI20" s="219"/>
      <c r="AJ20" s="219"/>
      <c r="AK20" s="219"/>
      <c r="AL20" s="219"/>
      <c r="AM20" s="219"/>
      <c r="AN20" s="219"/>
      <c r="AO20" s="219"/>
      <c r="AP20" s="219"/>
      <c r="AQ20" s="219"/>
      <c r="AR20" s="219"/>
    </row>
    <row r="21" spans="1:44" ht="87" x14ac:dyDescent="0.35">
      <c r="A21" s="202">
        <v>5.5</v>
      </c>
      <c r="B21" s="203" t="s">
        <v>58</v>
      </c>
      <c r="C21" s="204" t="s">
        <v>46</v>
      </c>
      <c r="D21" s="203" t="s">
        <v>59</v>
      </c>
      <c r="E21" s="205" t="s">
        <v>48</v>
      </c>
      <c r="F21" s="206" t="s">
        <v>33</v>
      </c>
      <c r="G21" s="242" t="s">
        <v>622</v>
      </c>
      <c r="H21" s="205" t="s">
        <v>630</v>
      </c>
      <c r="I21" s="206"/>
      <c r="J21" s="236"/>
      <c r="K21" s="236"/>
      <c r="L21" s="236"/>
      <c r="M21" s="236"/>
      <c r="N21" s="236"/>
      <c r="O21" s="236"/>
      <c r="P21" s="236"/>
      <c r="Q21" s="236"/>
      <c r="R21" s="236"/>
      <c r="S21" s="218"/>
      <c r="T21" s="218"/>
      <c r="U21" s="218"/>
      <c r="V21" s="218"/>
      <c r="W21" s="218"/>
      <c r="X21" s="218"/>
      <c r="Y21" s="218"/>
      <c r="Z21" s="218"/>
      <c r="AA21" s="218"/>
      <c r="AB21" s="218"/>
      <c r="AC21" s="218"/>
      <c r="AD21" s="218"/>
      <c r="AE21" s="219"/>
      <c r="AF21" s="219"/>
      <c r="AG21" s="219"/>
      <c r="AH21" s="219"/>
      <c r="AI21" s="219"/>
      <c r="AJ21" s="219"/>
      <c r="AK21" s="219"/>
      <c r="AL21" s="219"/>
      <c r="AM21" s="219"/>
      <c r="AN21" s="219"/>
      <c r="AO21" s="219"/>
      <c r="AP21" s="219"/>
      <c r="AQ21" s="219"/>
      <c r="AR21" s="219"/>
    </row>
    <row r="22" spans="1:44" ht="58" x14ac:dyDescent="0.35">
      <c r="A22" s="202">
        <v>1.2</v>
      </c>
      <c r="B22" s="203" t="s">
        <v>60</v>
      </c>
      <c r="C22" s="204" t="s">
        <v>61</v>
      </c>
      <c r="D22" s="203" t="s">
        <v>62</v>
      </c>
      <c r="E22" s="205" t="s">
        <v>63</v>
      </c>
      <c r="F22" s="206" t="s">
        <v>42</v>
      </c>
      <c r="G22" s="232"/>
      <c r="H22" s="205" t="s">
        <v>624</v>
      </c>
      <c r="I22" s="206"/>
      <c r="J22" s="236"/>
      <c r="K22" s="236"/>
      <c r="L22" s="236"/>
      <c r="M22" s="236"/>
      <c r="N22" s="236"/>
      <c r="O22" s="236"/>
      <c r="P22" s="236"/>
      <c r="Q22" s="236"/>
      <c r="R22" s="236"/>
      <c r="S22" s="218"/>
      <c r="T22" s="218"/>
      <c r="U22" s="218"/>
      <c r="V22" s="218"/>
      <c r="W22" s="218"/>
      <c r="X22" s="218"/>
      <c r="Y22" s="218"/>
      <c r="Z22" s="218"/>
      <c r="AA22" s="218"/>
      <c r="AB22" s="218"/>
      <c r="AC22" s="218"/>
      <c r="AD22" s="218"/>
      <c r="AE22" s="219"/>
      <c r="AF22" s="219"/>
      <c r="AG22" s="219"/>
      <c r="AH22" s="219"/>
      <c r="AI22" s="219"/>
      <c r="AJ22" s="219"/>
      <c r="AK22" s="219"/>
      <c r="AL22" s="219"/>
      <c r="AM22" s="219"/>
      <c r="AN22" s="219"/>
      <c r="AO22" s="219"/>
      <c r="AP22" s="219"/>
      <c r="AQ22" s="219"/>
      <c r="AR22" s="219"/>
    </row>
    <row r="23" spans="1:44" ht="43.5" x14ac:dyDescent="0.35">
      <c r="A23" s="202">
        <v>1.19</v>
      </c>
      <c r="B23" s="203" t="s">
        <v>64</v>
      </c>
      <c r="C23" s="204" t="s">
        <v>61</v>
      </c>
      <c r="D23" s="203" t="s">
        <v>65</v>
      </c>
      <c r="E23" s="205"/>
      <c r="F23" s="206" t="s">
        <v>66</v>
      </c>
      <c r="G23" s="232"/>
      <c r="H23" s="205" t="s">
        <v>627</v>
      </c>
      <c r="I23" s="206"/>
      <c r="J23" s="236"/>
      <c r="K23" s="236"/>
      <c r="L23" s="236"/>
      <c r="M23" s="236"/>
      <c r="N23" s="236"/>
      <c r="O23" s="236"/>
      <c r="P23" s="236"/>
      <c r="Q23" s="236"/>
      <c r="R23" s="236"/>
      <c r="S23" s="218"/>
      <c r="T23" s="218"/>
      <c r="U23" s="218"/>
      <c r="V23" s="218"/>
      <c r="W23" s="218"/>
      <c r="X23" s="218"/>
      <c r="Y23" s="218"/>
      <c r="Z23" s="218"/>
      <c r="AA23" s="218"/>
      <c r="AB23" s="218"/>
      <c r="AC23" s="218"/>
      <c r="AD23" s="218"/>
      <c r="AE23" s="219"/>
      <c r="AF23" s="219"/>
      <c r="AG23" s="219"/>
      <c r="AH23" s="219"/>
      <c r="AI23" s="219"/>
      <c r="AJ23" s="219"/>
      <c r="AK23" s="219"/>
      <c r="AL23" s="219"/>
      <c r="AM23" s="219"/>
      <c r="AN23" s="219"/>
      <c r="AO23" s="219"/>
      <c r="AP23" s="219"/>
      <c r="AQ23" s="219"/>
      <c r="AR23" s="219"/>
    </row>
    <row r="24" spans="1:44" ht="43.5" x14ac:dyDescent="0.35">
      <c r="A24" s="202">
        <v>2.2000000000000002</v>
      </c>
      <c r="B24" s="203" t="s">
        <v>67</v>
      </c>
      <c r="C24" s="204" t="s">
        <v>61</v>
      </c>
      <c r="D24" s="203" t="s">
        <v>68</v>
      </c>
      <c r="E24" s="205" t="s">
        <v>69</v>
      </c>
      <c r="F24" s="206" t="s">
        <v>33</v>
      </c>
      <c r="G24" s="232"/>
      <c r="H24" s="205"/>
      <c r="I24" s="206"/>
      <c r="J24" s="236"/>
      <c r="K24" s="236"/>
      <c r="L24" s="236"/>
      <c r="M24" s="236"/>
      <c r="N24" s="236"/>
      <c r="O24" s="236"/>
      <c r="P24" s="236"/>
      <c r="Q24" s="236"/>
      <c r="R24" s="236"/>
      <c r="S24" s="218"/>
      <c r="T24" s="218"/>
      <c r="U24" s="218"/>
      <c r="V24" s="218"/>
      <c r="W24" s="218"/>
      <c r="X24" s="218"/>
      <c r="Y24" s="218"/>
      <c r="Z24" s="218"/>
      <c r="AA24" s="218"/>
      <c r="AB24" s="218"/>
      <c r="AC24" s="218"/>
      <c r="AD24" s="218"/>
      <c r="AE24" s="219"/>
      <c r="AF24" s="219"/>
      <c r="AG24" s="219"/>
      <c r="AH24" s="219"/>
      <c r="AI24" s="219"/>
      <c r="AJ24" s="219"/>
      <c r="AK24" s="219"/>
      <c r="AL24" s="219"/>
      <c r="AM24" s="219"/>
      <c r="AN24" s="219"/>
      <c r="AO24" s="219"/>
      <c r="AP24" s="219"/>
      <c r="AQ24" s="219"/>
      <c r="AR24" s="219"/>
    </row>
    <row r="25" spans="1:44" ht="29" x14ac:dyDescent="0.35">
      <c r="A25" s="202">
        <v>3.5</v>
      </c>
      <c r="B25" s="203" t="s">
        <v>70</v>
      </c>
      <c r="C25" s="204" t="s">
        <v>61</v>
      </c>
      <c r="D25" s="203" t="s">
        <v>71</v>
      </c>
      <c r="E25" s="205" t="s">
        <v>72</v>
      </c>
      <c r="F25" s="206" t="s">
        <v>38</v>
      </c>
      <c r="G25" s="232"/>
      <c r="H25" s="205" t="s">
        <v>638</v>
      </c>
      <c r="I25" s="206" t="s">
        <v>73</v>
      </c>
      <c r="J25" s="236"/>
      <c r="K25" s="236"/>
      <c r="L25" s="236"/>
      <c r="M25" s="236"/>
      <c r="N25" s="236"/>
      <c r="O25" s="236"/>
      <c r="P25" s="236"/>
      <c r="Q25" s="236"/>
      <c r="R25" s="236"/>
      <c r="S25" s="218"/>
      <c r="T25" s="218"/>
      <c r="U25" s="218"/>
      <c r="V25" s="218"/>
      <c r="W25" s="218"/>
      <c r="X25" s="218"/>
      <c r="Y25" s="218"/>
      <c r="Z25" s="218"/>
      <c r="AA25" s="218"/>
      <c r="AB25" s="218"/>
      <c r="AC25" s="218"/>
      <c r="AD25" s="218"/>
      <c r="AE25" s="219"/>
      <c r="AF25" s="219"/>
      <c r="AG25" s="219"/>
      <c r="AH25" s="219"/>
      <c r="AI25" s="219"/>
      <c r="AJ25" s="219"/>
      <c r="AK25" s="219"/>
      <c r="AL25" s="219"/>
      <c r="AM25" s="219"/>
      <c r="AN25" s="219"/>
      <c r="AO25" s="219"/>
      <c r="AP25" s="219"/>
      <c r="AQ25" s="219"/>
      <c r="AR25" s="219"/>
    </row>
    <row r="26" spans="1:44" ht="43.5" x14ac:dyDescent="0.35">
      <c r="A26" s="202">
        <v>9.1</v>
      </c>
      <c r="B26" s="203" t="s">
        <v>74</v>
      </c>
      <c r="C26" s="204" t="s">
        <v>75</v>
      </c>
      <c r="D26" s="203" t="s">
        <v>76</v>
      </c>
      <c r="E26" s="205"/>
      <c r="F26" s="206" t="s">
        <v>15</v>
      </c>
      <c r="G26" s="232"/>
      <c r="H26" s="205"/>
      <c r="I26" s="206"/>
      <c r="J26" s="236"/>
      <c r="K26" s="236"/>
      <c r="L26" s="236"/>
      <c r="M26" s="236"/>
      <c r="N26" s="236"/>
      <c r="O26" s="236"/>
      <c r="P26" s="236"/>
      <c r="Q26" s="236"/>
      <c r="R26" s="236"/>
      <c r="S26" s="218"/>
      <c r="T26" s="218"/>
      <c r="U26" s="218"/>
      <c r="V26" s="218"/>
      <c r="W26" s="218"/>
      <c r="X26" s="218"/>
      <c r="Y26" s="218"/>
      <c r="Z26" s="218"/>
      <c r="AA26" s="218"/>
      <c r="AB26" s="218"/>
      <c r="AC26" s="218"/>
      <c r="AD26" s="218"/>
      <c r="AE26" s="219"/>
      <c r="AF26" s="219"/>
      <c r="AG26" s="219"/>
      <c r="AH26" s="219"/>
      <c r="AI26" s="219"/>
      <c r="AJ26" s="219"/>
      <c r="AK26" s="219"/>
      <c r="AL26" s="219"/>
      <c r="AM26" s="219"/>
      <c r="AN26" s="219"/>
      <c r="AO26" s="219"/>
      <c r="AP26" s="219"/>
      <c r="AQ26" s="219"/>
      <c r="AR26" s="219"/>
    </row>
    <row r="27" spans="1:44" ht="58" x14ac:dyDescent="0.35">
      <c r="A27" s="202">
        <v>9.1999999999999993</v>
      </c>
      <c r="B27" s="203" t="s">
        <v>77</v>
      </c>
      <c r="C27" s="204" t="s">
        <v>75</v>
      </c>
      <c r="D27" s="203" t="s">
        <v>76</v>
      </c>
      <c r="E27" s="205"/>
      <c r="F27" s="206" t="s">
        <v>15</v>
      </c>
      <c r="G27" s="232"/>
      <c r="H27" s="205"/>
      <c r="I27" s="206"/>
      <c r="J27" s="236"/>
      <c r="K27" s="236"/>
      <c r="L27" s="236"/>
      <c r="M27" s="236"/>
      <c r="N27" s="236"/>
      <c r="O27" s="236"/>
      <c r="P27" s="236"/>
      <c r="Q27" s="236"/>
      <c r="R27" s="236"/>
      <c r="S27" s="218"/>
      <c r="T27" s="218"/>
      <c r="U27" s="218"/>
      <c r="V27" s="218"/>
      <c r="W27" s="218"/>
      <c r="X27" s="218"/>
      <c r="Y27" s="218"/>
      <c r="Z27" s="218"/>
      <c r="AA27" s="218"/>
      <c r="AB27" s="218"/>
      <c r="AC27" s="218"/>
      <c r="AD27" s="218"/>
      <c r="AE27" s="219"/>
      <c r="AF27" s="219"/>
      <c r="AG27" s="219"/>
      <c r="AH27" s="219"/>
      <c r="AI27" s="219"/>
      <c r="AJ27" s="219"/>
      <c r="AK27" s="219"/>
      <c r="AL27" s="219"/>
      <c r="AM27" s="219"/>
      <c r="AN27" s="219"/>
      <c r="AO27" s="219"/>
      <c r="AP27" s="219"/>
      <c r="AQ27" s="219"/>
      <c r="AR27" s="219"/>
    </row>
    <row r="28" spans="1:44" ht="29" x14ac:dyDescent="0.35">
      <c r="A28" s="202">
        <v>1.3</v>
      </c>
      <c r="B28" s="203" t="s">
        <v>78</v>
      </c>
      <c r="C28" s="204" t="s">
        <v>75</v>
      </c>
      <c r="D28" s="203" t="s">
        <v>79</v>
      </c>
      <c r="E28" s="205"/>
      <c r="F28" s="206" t="s">
        <v>33</v>
      </c>
      <c r="G28" s="232"/>
      <c r="H28" s="205"/>
      <c r="I28" s="206"/>
      <c r="J28" s="236"/>
      <c r="K28" s="236"/>
      <c r="L28" s="236"/>
      <c r="M28" s="236"/>
      <c r="N28" s="236"/>
      <c r="O28" s="236"/>
      <c r="P28" s="236"/>
      <c r="Q28" s="236"/>
      <c r="R28" s="236"/>
      <c r="S28" s="218"/>
      <c r="T28" s="218"/>
      <c r="U28" s="218"/>
      <c r="V28" s="218"/>
      <c r="W28" s="218"/>
      <c r="X28" s="218"/>
      <c r="Y28" s="218"/>
      <c r="Z28" s="218"/>
      <c r="AA28" s="218"/>
      <c r="AB28" s="218"/>
      <c r="AC28" s="218"/>
      <c r="AD28" s="218"/>
      <c r="AE28" s="219"/>
      <c r="AF28" s="219"/>
      <c r="AG28" s="219"/>
      <c r="AH28" s="219"/>
      <c r="AI28" s="219"/>
      <c r="AJ28" s="219"/>
      <c r="AK28" s="219"/>
      <c r="AL28" s="219"/>
      <c r="AM28" s="219"/>
      <c r="AN28" s="219"/>
      <c r="AO28" s="219"/>
      <c r="AP28" s="219"/>
      <c r="AQ28" s="219"/>
      <c r="AR28" s="219"/>
    </row>
    <row r="29" spans="1:44" ht="29" x14ac:dyDescent="0.35">
      <c r="A29" s="202">
        <v>1.4</v>
      </c>
      <c r="B29" s="203" t="s">
        <v>80</v>
      </c>
      <c r="C29" s="204" t="s">
        <v>75</v>
      </c>
      <c r="D29" s="203" t="s">
        <v>79</v>
      </c>
      <c r="E29" s="205"/>
      <c r="F29" s="206" t="s">
        <v>33</v>
      </c>
      <c r="G29" s="232"/>
      <c r="H29" s="205"/>
      <c r="I29" s="206"/>
      <c r="J29" s="236"/>
      <c r="K29" s="236"/>
      <c r="L29" s="236"/>
      <c r="M29" s="236"/>
      <c r="N29" s="236"/>
      <c r="O29" s="236"/>
      <c r="P29" s="236"/>
      <c r="Q29" s="236"/>
      <c r="R29" s="236"/>
      <c r="S29" s="218"/>
      <c r="T29" s="218"/>
      <c r="U29" s="218"/>
      <c r="V29" s="218"/>
      <c r="W29" s="218"/>
      <c r="X29" s="218"/>
      <c r="Y29" s="218"/>
      <c r="Z29" s="218"/>
      <c r="AA29" s="218"/>
      <c r="AB29" s="218"/>
      <c r="AC29" s="218"/>
      <c r="AD29" s="218"/>
      <c r="AE29" s="219"/>
      <c r="AF29" s="219"/>
      <c r="AG29" s="219"/>
      <c r="AH29" s="219"/>
      <c r="AI29" s="219"/>
      <c r="AJ29" s="219"/>
      <c r="AK29" s="219"/>
      <c r="AL29" s="219"/>
      <c r="AM29" s="219"/>
      <c r="AN29" s="219"/>
      <c r="AO29" s="219"/>
      <c r="AP29" s="219"/>
      <c r="AQ29" s="219"/>
      <c r="AR29" s="219"/>
    </row>
    <row r="30" spans="1:44" ht="58" x14ac:dyDescent="0.35">
      <c r="A30" s="202">
        <v>1.5</v>
      </c>
      <c r="B30" s="203" t="s">
        <v>81</v>
      </c>
      <c r="C30" s="204" t="s">
        <v>75</v>
      </c>
      <c r="D30" s="203" t="s">
        <v>82</v>
      </c>
      <c r="E30" s="205" t="s">
        <v>83</v>
      </c>
      <c r="F30" s="206" t="s">
        <v>33</v>
      </c>
      <c r="G30" s="232"/>
      <c r="H30" s="205"/>
      <c r="I30" s="206"/>
      <c r="J30" s="236"/>
      <c r="K30" s="236"/>
      <c r="L30" s="236"/>
      <c r="M30" s="236"/>
      <c r="N30" s="236"/>
      <c r="O30" s="236"/>
      <c r="P30" s="236"/>
      <c r="Q30" s="236"/>
      <c r="R30" s="236"/>
      <c r="S30" s="218"/>
      <c r="T30" s="218"/>
      <c r="U30" s="218"/>
      <c r="V30" s="218"/>
      <c r="W30" s="218"/>
      <c r="X30" s="218"/>
      <c r="Y30" s="218"/>
      <c r="Z30" s="218"/>
      <c r="AA30" s="218"/>
      <c r="AB30" s="218"/>
      <c r="AC30" s="218"/>
      <c r="AD30" s="218"/>
      <c r="AE30" s="219"/>
      <c r="AF30" s="219"/>
      <c r="AG30" s="219"/>
      <c r="AH30" s="219"/>
      <c r="AI30" s="219"/>
      <c r="AJ30" s="219"/>
      <c r="AK30" s="219"/>
      <c r="AL30" s="219"/>
      <c r="AM30" s="219"/>
      <c r="AN30" s="219"/>
      <c r="AO30" s="219"/>
      <c r="AP30" s="219"/>
      <c r="AQ30" s="219"/>
      <c r="AR30" s="219"/>
    </row>
    <row r="31" spans="1:44" ht="72.5" x14ac:dyDescent="0.35">
      <c r="A31" s="202">
        <v>1.7</v>
      </c>
      <c r="B31" s="203" t="s">
        <v>84</v>
      </c>
      <c r="C31" s="204" t="s">
        <v>75</v>
      </c>
      <c r="D31" s="203" t="s">
        <v>79</v>
      </c>
      <c r="E31" s="205"/>
      <c r="F31" s="206" t="s">
        <v>33</v>
      </c>
      <c r="G31" s="232"/>
      <c r="H31" s="205"/>
      <c r="I31" s="206"/>
      <c r="J31" s="236"/>
      <c r="K31" s="236"/>
      <c r="L31" s="236"/>
      <c r="M31" s="236"/>
      <c r="N31" s="236"/>
      <c r="O31" s="236"/>
      <c r="P31" s="236"/>
      <c r="Q31" s="236"/>
      <c r="R31" s="236"/>
      <c r="S31" s="218"/>
      <c r="T31" s="218"/>
      <c r="U31" s="218"/>
      <c r="V31" s="218"/>
      <c r="W31" s="218"/>
      <c r="X31" s="218"/>
      <c r="Y31" s="218"/>
      <c r="Z31" s="218"/>
      <c r="AA31" s="218"/>
      <c r="AB31" s="218"/>
      <c r="AC31" s="218"/>
      <c r="AD31" s="218"/>
      <c r="AE31" s="219"/>
      <c r="AF31" s="219"/>
      <c r="AG31" s="219"/>
      <c r="AH31" s="219"/>
      <c r="AI31" s="219"/>
      <c r="AJ31" s="219"/>
      <c r="AK31" s="219"/>
      <c r="AL31" s="219"/>
      <c r="AM31" s="219"/>
      <c r="AN31" s="219"/>
      <c r="AO31" s="219"/>
      <c r="AP31" s="219"/>
      <c r="AQ31" s="219"/>
      <c r="AR31" s="219"/>
    </row>
    <row r="32" spans="1:44" ht="87" x14ac:dyDescent="0.35">
      <c r="A32" s="202">
        <v>1.8</v>
      </c>
      <c r="B32" s="203" t="s">
        <v>85</v>
      </c>
      <c r="C32" s="204" t="s">
        <v>75</v>
      </c>
      <c r="D32" s="203" t="s">
        <v>86</v>
      </c>
      <c r="E32" s="205"/>
      <c r="F32" s="206" t="s">
        <v>33</v>
      </c>
      <c r="G32" s="232"/>
      <c r="H32" s="205"/>
      <c r="I32" s="206"/>
      <c r="J32" s="236"/>
      <c r="K32" s="236"/>
      <c r="L32" s="236"/>
      <c r="M32" s="236"/>
      <c r="N32" s="236"/>
      <c r="O32" s="236"/>
      <c r="P32" s="236"/>
      <c r="Q32" s="236"/>
      <c r="R32" s="236"/>
      <c r="S32" s="218"/>
      <c r="T32" s="218"/>
      <c r="U32" s="218"/>
      <c r="V32" s="218"/>
      <c r="W32" s="218"/>
      <c r="X32" s="218"/>
      <c r="Y32" s="218"/>
      <c r="Z32" s="218"/>
      <c r="AA32" s="218"/>
      <c r="AB32" s="218"/>
      <c r="AC32" s="218"/>
      <c r="AD32" s="218"/>
      <c r="AE32" s="219"/>
      <c r="AF32" s="219"/>
      <c r="AG32" s="219"/>
      <c r="AH32" s="219"/>
      <c r="AI32" s="219"/>
      <c r="AJ32" s="219"/>
      <c r="AK32" s="219"/>
      <c r="AL32" s="219"/>
      <c r="AM32" s="219"/>
      <c r="AN32" s="219"/>
      <c r="AO32" s="219"/>
      <c r="AP32" s="219"/>
      <c r="AQ32" s="219"/>
      <c r="AR32" s="219"/>
    </row>
    <row r="33" spans="1:44" ht="43.5" x14ac:dyDescent="0.35">
      <c r="A33" s="202">
        <v>1.9</v>
      </c>
      <c r="B33" s="203" t="s">
        <v>87</v>
      </c>
      <c r="C33" s="204" t="s">
        <v>75</v>
      </c>
      <c r="D33" s="203" t="s">
        <v>79</v>
      </c>
      <c r="E33" s="205" t="s">
        <v>88</v>
      </c>
      <c r="F33" s="206" t="s">
        <v>38</v>
      </c>
      <c r="G33" s="232"/>
      <c r="H33" s="205"/>
      <c r="I33" s="206"/>
      <c r="J33" s="236"/>
      <c r="K33" s="236"/>
      <c r="L33" s="236"/>
      <c r="M33" s="236"/>
      <c r="N33" s="236"/>
      <c r="O33" s="236"/>
      <c r="P33" s="236"/>
      <c r="Q33" s="236"/>
      <c r="R33" s="236"/>
      <c r="S33" s="218"/>
      <c r="T33" s="218"/>
      <c r="U33" s="218"/>
      <c r="V33" s="218"/>
      <c r="W33" s="218"/>
      <c r="X33" s="218"/>
      <c r="Y33" s="218"/>
      <c r="Z33" s="218"/>
      <c r="AA33" s="218"/>
      <c r="AB33" s="218"/>
      <c r="AC33" s="218"/>
      <c r="AD33" s="218"/>
      <c r="AE33" s="219"/>
      <c r="AF33" s="219"/>
      <c r="AG33" s="219"/>
      <c r="AH33" s="219"/>
      <c r="AI33" s="219"/>
      <c r="AJ33" s="219"/>
      <c r="AK33" s="219"/>
      <c r="AL33" s="219"/>
      <c r="AM33" s="219"/>
      <c r="AN33" s="219"/>
      <c r="AO33" s="219"/>
      <c r="AP33" s="219"/>
      <c r="AQ33" s="219"/>
      <c r="AR33" s="219"/>
    </row>
    <row r="34" spans="1:44" ht="43.5" x14ac:dyDescent="0.35">
      <c r="A34" s="202">
        <v>1.1000000000000001</v>
      </c>
      <c r="B34" s="203" t="s">
        <v>89</v>
      </c>
      <c r="C34" s="204" t="s">
        <v>75</v>
      </c>
      <c r="D34" s="203" t="s">
        <v>79</v>
      </c>
      <c r="E34" s="205" t="s">
        <v>90</v>
      </c>
      <c r="F34" s="206" t="s">
        <v>38</v>
      </c>
      <c r="G34" s="232"/>
      <c r="H34" s="205"/>
      <c r="I34" s="206"/>
      <c r="J34" s="236"/>
      <c r="K34" s="236"/>
      <c r="L34" s="236"/>
      <c r="M34" s="236"/>
      <c r="N34" s="236"/>
      <c r="O34" s="236"/>
      <c r="P34" s="236"/>
      <c r="Q34" s="236"/>
      <c r="R34" s="236"/>
      <c r="S34" s="218"/>
      <c r="T34" s="218"/>
      <c r="U34" s="218"/>
      <c r="V34" s="218"/>
      <c r="W34" s="218"/>
      <c r="X34" s="218"/>
      <c r="Y34" s="218"/>
      <c r="Z34" s="218"/>
      <c r="AA34" s="218"/>
      <c r="AB34" s="218"/>
      <c r="AC34" s="218"/>
      <c r="AD34" s="218"/>
      <c r="AE34" s="219"/>
      <c r="AF34" s="219"/>
      <c r="AG34" s="219"/>
      <c r="AH34" s="219"/>
      <c r="AI34" s="219"/>
      <c r="AJ34" s="219"/>
      <c r="AK34" s="219"/>
      <c r="AL34" s="219"/>
      <c r="AM34" s="219"/>
      <c r="AN34" s="219"/>
      <c r="AO34" s="219"/>
      <c r="AP34" s="219"/>
      <c r="AQ34" s="219"/>
      <c r="AR34" s="219"/>
    </row>
    <row r="35" spans="1:44" ht="58" x14ac:dyDescent="0.35">
      <c r="A35" s="202">
        <v>1.1100000000000001</v>
      </c>
      <c r="B35" s="203" t="s">
        <v>91</v>
      </c>
      <c r="C35" s="204" t="s">
        <v>75</v>
      </c>
      <c r="D35" s="203" t="s">
        <v>79</v>
      </c>
      <c r="E35" s="205"/>
      <c r="F35" s="206" t="s">
        <v>33</v>
      </c>
      <c r="G35" s="232"/>
      <c r="H35" s="205"/>
      <c r="I35" s="206"/>
      <c r="J35" s="236"/>
      <c r="K35" s="236"/>
      <c r="L35" s="236"/>
      <c r="M35" s="236"/>
      <c r="N35" s="236"/>
      <c r="O35" s="236"/>
      <c r="P35" s="236"/>
      <c r="Q35" s="236"/>
      <c r="R35" s="236"/>
      <c r="S35" s="218"/>
      <c r="T35" s="218"/>
      <c r="U35" s="218"/>
      <c r="V35" s="218"/>
      <c r="W35" s="218"/>
      <c r="X35" s="218"/>
      <c r="Y35" s="218"/>
      <c r="Z35" s="218"/>
      <c r="AA35" s="218"/>
      <c r="AB35" s="218"/>
      <c r="AC35" s="218"/>
      <c r="AD35" s="218"/>
      <c r="AE35" s="219"/>
      <c r="AF35" s="219"/>
      <c r="AG35" s="219"/>
      <c r="AH35" s="219"/>
      <c r="AI35" s="219"/>
      <c r="AJ35" s="219"/>
      <c r="AK35" s="219"/>
      <c r="AL35" s="219"/>
      <c r="AM35" s="219"/>
      <c r="AN35" s="219"/>
      <c r="AO35" s="219"/>
      <c r="AP35" s="219"/>
      <c r="AQ35" s="219"/>
      <c r="AR35" s="219"/>
    </row>
    <row r="36" spans="1:44" ht="43.5" x14ac:dyDescent="0.35">
      <c r="A36" s="202">
        <v>4.5999999999999996</v>
      </c>
      <c r="B36" s="203" t="s">
        <v>92</v>
      </c>
      <c r="C36" s="204" t="s">
        <v>75</v>
      </c>
      <c r="D36" s="203" t="s">
        <v>79</v>
      </c>
      <c r="E36" s="205"/>
      <c r="F36" s="206" t="s">
        <v>33</v>
      </c>
      <c r="G36" s="232"/>
      <c r="H36" s="205"/>
      <c r="I36" s="206"/>
      <c r="J36" s="236"/>
      <c r="K36" s="236"/>
      <c r="L36" s="236"/>
      <c r="M36" s="236"/>
      <c r="N36" s="236"/>
      <c r="O36" s="236"/>
      <c r="P36" s="236"/>
      <c r="Q36" s="236"/>
      <c r="R36" s="236"/>
      <c r="S36" s="218"/>
      <c r="T36" s="218"/>
      <c r="U36" s="218"/>
      <c r="V36" s="218"/>
      <c r="W36" s="218"/>
      <c r="X36" s="218"/>
      <c r="Y36" s="218"/>
      <c r="Z36" s="218"/>
      <c r="AA36" s="218"/>
      <c r="AB36" s="218"/>
      <c r="AC36" s="218"/>
      <c r="AD36" s="218"/>
      <c r="AE36" s="219"/>
      <c r="AF36" s="219"/>
      <c r="AG36" s="219"/>
      <c r="AH36" s="219"/>
      <c r="AI36" s="219"/>
      <c r="AJ36" s="219"/>
      <c r="AK36" s="219"/>
      <c r="AL36" s="219"/>
      <c r="AM36" s="219"/>
      <c r="AN36" s="219"/>
      <c r="AO36" s="219"/>
      <c r="AP36" s="219"/>
      <c r="AQ36" s="219"/>
      <c r="AR36" s="219"/>
    </row>
    <row r="37" spans="1:44" ht="43.5" x14ac:dyDescent="0.35">
      <c r="A37" s="202">
        <v>5.6</v>
      </c>
      <c r="B37" s="203" t="s">
        <v>93</v>
      </c>
      <c r="C37" s="204" t="s">
        <v>75</v>
      </c>
      <c r="D37" s="203" t="s">
        <v>94</v>
      </c>
      <c r="E37" s="205"/>
      <c r="F37" s="206" t="s">
        <v>33</v>
      </c>
      <c r="G37" s="232"/>
      <c r="H37" s="205"/>
      <c r="I37" s="206"/>
      <c r="J37" s="236"/>
      <c r="K37" s="236"/>
      <c r="L37" s="236"/>
      <c r="M37" s="236"/>
      <c r="N37" s="236"/>
      <c r="O37" s="236"/>
      <c r="P37" s="236"/>
      <c r="Q37" s="236"/>
      <c r="R37" s="236"/>
      <c r="S37" s="218"/>
      <c r="T37" s="218"/>
      <c r="U37" s="218"/>
      <c r="V37" s="218"/>
      <c r="W37" s="218"/>
      <c r="X37" s="218"/>
      <c r="Y37" s="218"/>
      <c r="Z37" s="218"/>
      <c r="AA37" s="218"/>
      <c r="AB37" s="218"/>
      <c r="AC37" s="218"/>
      <c r="AD37" s="218"/>
      <c r="AE37" s="219"/>
      <c r="AF37" s="219"/>
      <c r="AG37" s="219"/>
      <c r="AH37" s="219"/>
      <c r="AI37" s="219"/>
      <c r="AJ37" s="219"/>
      <c r="AK37" s="219"/>
      <c r="AL37" s="219"/>
      <c r="AM37" s="219"/>
      <c r="AN37" s="219"/>
      <c r="AO37" s="219"/>
      <c r="AP37" s="219"/>
      <c r="AQ37" s="219"/>
      <c r="AR37" s="219"/>
    </row>
    <row r="38" spans="1:44" ht="43.5" x14ac:dyDescent="0.35">
      <c r="A38" s="202">
        <v>5.9</v>
      </c>
      <c r="B38" s="203" t="s">
        <v>95</v>
      </c>
      <c r="C38" s="204" t="s">
        <v>75</v>
      </c>
      <c r="D38" s="203" t="s">
        <v>79</v>
      </c>
      <c r="E38" s="205"/>
      <c r="F38" s="206" t="s">
        <v>33</v>
      </c>
      <c r="G38" s="232"/>
      <c r="H38" s="205"/>
      <c r="I38" s="206"/>
      <c r="J38" s="236"/>
      <c r="K38" s="236"/>
      <c r="L38" s="236"/>
      <c r="M38" s="236"/>
      <c r="N38" s="236"/>
      <c r="O38" s="236"/>
      <c r="P38" s="236"/>
      <c r="Q38" s="236"/>
      <c r="R38" s="236"/>
      <c r="S38" s="218"/>
      <c r="T38" s="218"/>
      <c r="U38" s="218"/>
      <c r="V38" s="218"/>
      <c r="W38" s="218"/>
      <c r="X38" s="218"/>
      <c r="Y38" s="218"/>
      <c r="Z38" s="218"/>
      <c r="AA38" s="218"/>
      <c r="AB38" s="218"/>
      <c r="AC38" s="218"/>
      <c r="AD38" s="218"/>
      <c r="AE38" s="219"/>
      <c r="AF38" s="219"/>
      <c r="AG38" s="219"/>
      <c r="AH38" s="219"/>
      <c r="AI38" s="219"/>
      <c r="AJ38" s="219"/>
      <c r="AK38" s="219"/>
      <c r="AL38" s="219"/>
      <c r="AM38" s="219"/>
      <c r="AN38" s="219"/>
      <c r="AO38" s="219"/>
      <c r="AP38" s="219"/>
      <c r="AQ38" s="219"/>
      <c r="AR38" s="219"/>
    </row>
    <row r="39" spans="1:44" ht="29" x14ac:dyDescent="0.35">
      <c r="A39" s="202">
        <v>6.1</v>
      </c>
      <c r="B39" s="203" t="s">
        <v>96</v>
      </c>
      <c r="C39" s="204" t="s">
        <v>75</v>
      </c>
      <c r="D39" s="203" t="s">
        <v>97</v>
      </c>
      <c r="E39" s="205"/>
      <c r="F39" s="206" t="s">
        <v>33</v>
      </c>
      <c r="G39" s="232"/>
      <c r="H39" s="205"/>
      <c r="I39" s="206"/>
      <c r="J39" s="236"/>
      <c r="K39" s="236"/>
      <c r="L39" s="236"/>
      <c r="M39" s="236"/>
      <c r="N39" s="236"/>
      <c r="O39" s="236"/>
      <c r="P39" s="236"/>
      <c r="Q39" s="236"/>
      <c r="R39" s="236"/>
      <c r="S39" s="218"/>
      <c r="T39" s="218"/>
      <c r="U39" s="218"/>
      <c r="V39" s="218"/>
      <c r="W39" s="218"/>
      <c r="X39" s="218"/>
      <c r="Y39" s="218"/>
      <c r="Z39" s="218"/>
      <c r="AA39" s="218"/>
      <c r="AB39" s="218"/>
      <c r="AC39" s="218"/>
      <c r="AD39" s="218"/>
      <c r="AE39" s="219"/>
      <c r="AF39" s="219"/>
      <c r="AG39" s="219"/>
      <c r="AH39" s="219"/>
      <c r="AI39" s="219"/>
      <c r="AJ39" s="219"/>
      <c r="AK39" s="219"/>
      <c r="AL39" s="219"/>
      <c r="AM39" s="219"/>
      <c r="AN39" s="219"/>
      <c r="AO39" s="219"/>
      <c r="AP39" s="219"/>
      <c r="AQ39" s="219"/>
      <c r="AR39" s="219"/>
    </row>
    <row r="40" spans="1:44" ht="43.5" x14ac:dyDescent="0.35">
      <c r="A40" s="202">
        <v>6.2</v>
      </c>
      <c r="B40" s="203" t="s">
        <v>98</v>
      </c>
      <c r="C40" s="204" t="s">
        <v>75</v>
      </c>
      <c r="D40" s="203" t="s">
        <v>99</v>
      </c>
      <c r="E40" s="205" t="s">
        <v>100</v>
      </c>
      <c r="F40" s="206" t="s">
        <v>42</v>
      </c>
      <c r="G40" s="232"/>
      <c r="H40" s="205"/>
      <c r="I40" s="206" t="s">
        <v>101</v>
      </c>
      <c r="J40" s="236"/>
      <c r="K40" s="236"/>
      <c r="L40" s="236"/>
      <c r="M40" s="236"/>
      <c r="N40" s="236"/>
      <c r="O40" s="236"/>
      <c r="P40" s="236"/>
      <c r="Q40" s="236"/>
      <c r="R40" s="236"/>
      <c r="S40" s="218"/>
      <c r="T40" s="218"/>
      <c r="U40" s="218"/>
      <c r="V40" s="218"/>
      <c r="W40" s="218"/>
      <c r="X40" s="218"/>
      <c r="Y40" s="218"/>
      <c r="Z40" s="218"/>
      <c r="AA40" s="218"/>
      <c r="AB40" s="218"/>
      <c r="AC40" s="218"/>
      <c r="AD40" s="218"/>
      <c r="AE40" s="219"/>
      <c r="AF40" s="219"/>
      <c r="AG40" s="219"/>
      <c r="AH40" s="219"/>
      <c r="AI40" s="219"/>
      <c r="AJ40" s="219"/>
      <c r="AK40" s="219"/>
      <c r="AL40" s="219"/>
      <c r="AM40" s="219"/>
      <c r="AN40" s="219"/>
      <c r="AO40" s="219"/>
      <c r="AP40" s="219"/>
      <c r="AQ40" s="219"/>
      <c r="AR40" s="219"/>
    </row>
    <row r="41" spans="1:44" ht="87" x14ac:dyDescent="0.35">
      <c r="A41" s="202">
        <v>6.4</v>
      </c>
      <c r="B41" s="203" t="s">
        <v>102</v>
      </c>
      <c r="C41" s="204" t="s">
        <v>75</v>
      </c>
      <c r="D41" s="203" t="s">
        <v>103</v>
      </c>
      <c r="E41" s="205" t="s">
        <v>104</v>
      </c>
      <c r="F41" s="206" t="s">
        <v>42</v>
      </c>
      <c r="G41" s="232"/>
      <c r="H41" s="205"/>
      <c r="I41" s="206"/>
      <c r="J41" s="236"/>
      <c r="K41" s="236"/>
      <c r="L41" s="236"/>
      <c r="M41" s="236"/>
      <c r="N41" s="236"/>
      <c r="O41" s="236"/>
      <c r="P41" s="236"/>
      <c r="Q41" s="236"/>
      <c r="R41" s="236"/>
      <c r="S41" s="218"/>
      <c r="T41" s="218"/>
      <c r="U41" s="218"/>
      <c r="V41" s="218"/>
      <c r="W41" s="218"/>
      <c r="X41" s="218"/>
      <c r="Y41" s="218"/>
      <c r="Z41" s="218"/>
      <c r="AA41" s="218"/>
      <c r="AB41" s="218"/>
      <c r="AC41" s="218"/>
      <c r="AD41" s="218"/>
      <c r="AE41" s="219"/>
      <c r="AF41" s="219"/>
      <c r="AG41" s="219"/>
      <c r="AH41" s="219"/>
      <c r="AI41" s="219"/>
      <c r="AJ41" s="219"/>
      <c r="AK41" s="219"/>
      <c r="AL41" s="219"/>
      <c r="AM41" s="219"/>
      <c r="AN41" s="219"/>
      <c r="AO41" s="219"/>
      <c r="AP41" s="219"/>
      <c r="AQ41" s="219"/>
      <c r="AR41" s="219"/>
    </row>
    <row r="42" spans="1:44" ht="43.5" x14ac:dyDescent="0.35">
      <c r="A42" s="202">
        <v>6.5</v>
      </c>
      <c r="B42" s="203" t="s">
        <v>105</v>
      </c>
      <c r="C42" s="204" t="s">
        <v>75</v>
      </c>
      <c r="D42" s="203" t="s">
        <v>106</v>
      </c>
      <c r="E42" s="205" t="s">
        <v>107</v>
      </c>
      <c r="F42" s="206" t="s">
        <v>42</v>
      </c>
      <c r="G42" s="232"/>
      <c r="H42" s="205"/>
      <c r="I42" s="206"/>
      <c r="J42" s="236"/>
      <c r="K42" s="236"/>
      <c r="L42" s="236"/>
      <c r="M42" s="236"/>
      <c r="N42" s="236"/>
      <c r="O42" s="236"/>
      <c r="P42" s="236"/>
      <c r="Q42" s="236"/>
      <c r="R42" s="236"/>
      <c r="S42" s="218"/>
      <c r="T42" s="218"/>
      <c r="U42" s="218"/>
      <c r="V42" s="218"/>
      <c r="W42" s="218"/>
      <c r="X42" s="218"/>
      <c r="Y42" s="218"/>
      <c r="Z42" s="218"/>
      <c r="AA42" s="218"/>
      <c r="AB42" s="218"/>
      <c r="AC42" s="218"/>
      <c r="AD42" s="218"/>
      <c r="AE42" s="219"/>
      <c r="AF42" s="219"/>
      <c r="AG42" s="219"/>
      <c r="AH42" s="219"/>
      <c r="AI42" s="219"/>
      <c r="AJ42" s="219"/>
      <c r="AK42" s="219"/>
      <c r="AL42" s="219"/>
      <c r="AM42" s="219"/>
      <c r="AN42" s="219"/>
      <c r="AO42" s="219"/>
      <c r="AP42" s="219"/>
      <c r="AQ42" s="219"/>
      <c r="AR42" s="219"/>
    </row>
    <row r="43" spans="1:44" ht="72.5" x14ac:dyDescent="0.35">
      <c r="A43" s="202">
        <v>7.5</v>
      </c>
      <c r="B43" s="203" t="s">
        <v>108</v>
      </c>
      <c r="C43" s="204" t="s">
        <v>75</v>
      </c>
      <c r="D43" s="203" t="s">
        <v>109</v>
      </c>
      <c r="E43" s="205"/>
      <c r="F43" s="206" t="s">
        <v>15</v>
      </c>
      <c r="G43" s="232"/>
      <c r="H43" s="205"/>
      <c r="I43" s="206" t="s">
        <v>110</v>
      </c>
      <c r="J43" s="236"/>
      <c r="K43" s="236"/>
      <c r="L43" s="236"/>
      <c r="M43" s="236"/>
      <c r="N43" s="236"/>
      <c r="O43" s="236"/>
      <c r="P43" s="236"/>
      <c r="Q43" s="236"/>
      <c r="R43" s="236"/>
      <c r="S43" s="218"/>
      <c r="T43" s="218"/>
      <c r="U43" s="218"/>
      <c r="V43" s="218"/>
      <c r="W43" s="218"/>
      <c r="X43" s="218"/>
      <c r="Y43" s="218"/>
      <c r="Z43" s="218"/>
      <c r="AA43" s="218"/>
      <c r="AB43" s="218"/>
      <c r="AC43" s="218"/>
      <c r="AD43" s="218"/>
      <c r="AE43" s="219"/>
      <c r="AF43" s="219"/>
      <c r="AG43" s="219"/>
      <c r="AH43" s="219"/>
      <c r="AI43" s="219"/>
      <c r="AJ43" s="219"/>
      <c r="AK43" s="219"/>
      <c r="AL43" s="219"/>
      <c r="AM43" s="219"/>
      <c r="AN43" s="219"/>
      <c r="AO43" s="219"/>
      <c r="AP43" s="219"/>
      <c r="AQ43" s="219"/>
      <c r="AR43" s="219"/>
    </row>
    <row r="44" spans="1:44" ht="43.5" x14ac:dyDescent="0.35">
      <c r="A44" s="202">
        <v>7.6</v>
      </c>
      <c r="B44" s="203" t="s">
        <v>111</v>
      </c>
      <c r="C44" s="204" t="s">
        <v>75</v>
      </c>
      <c r="D44" s="203" t="s">
        <v>112</v>
      </c>
      <c r="E44" s="205"/>
      <c r="F44" s="206" t="s">
        <v>15</v>
      </c>
      <c r="G44" s="232"/>
      <c r="H44" s="205"/>
      <c r="I44" s="206" t="s">
        <v>113</v>
      </c>
      <c r="J44" s="236"/>
      <c r="K44" s="236"/>
      <c r="L44" s="236"/>
      <c r="M44" s="236"/>
      <c r="N44" s="236"/>
      <c r="O44" s="236"/>
      <c r="P44" s="236"/>
      <c r="Q44" s="236"/>
      <c r="R44" s="236"/>
      <c r="S44" s="218"/>
      <c r="T44" s="218"/>
      <c r="U44" s="218"/>
      <c r="V44" s="218"/>
      <c r="W44" s="218"/>
      <c r="X44" s="218"/>
      <c r="Y44" s="218"/>
      <c r="Z44" s="218"/>
      <c r="AA44" s="218"/>
      <c r="AB44" s="218"/>
      <c r="AC44" s="218"/>
      <c r="AD44" s="218"/>
      <c r="AE44" s="219"/>
      <c r="AF44" s="219"/>
      <c r="AG44" s="219"/>
      <c r="AH44" s="219"/>
      <c r="AI44" s="219"/>
      <c r="AJ44" s="219"/>
      <c r="AK44" s="219"/>
      <c r="AL44" s="219"/>
      <c r="AM44" s="219"/>
      <c r="AN44" s="219"/>
      <c r="AO44" s="219"/>
      <c r="AP44" s="219"/>
      <c r="AQ44" s="219"/>
      <c r="AR44" s="219"/>
    </row>
    <row r="45" spans="1:44" ht="29" x14ac:dyDescent="0.35">
      <c r="A45" s="202">
        <v>4.5</v>
      </c>
      <c r="B45" s="203" t="s">
        <v>114</v>
      </c>
      <c r="C45" s="204" t="s">
        <v>75</v>
      </c>
      <c r="D45" s="203" t="s">
        <v>115</v>
      </c>
      <c r="E45" s="205"/>
      <c r="F45" s="206" t="s">
        <v>42</v>
      </c>
      <c r="G45" s="232"/>
      <c r="H45" s="205" t="s">
        <v>116</v>
      </c>
      <c r="I45" s="206"/>
      <c r="J45" s="236"/>
      <c r="K45" s="236"/>
      <c r="L45" s="236"/>
      <c r="M45" s="236"/>
      <c r="N45" s="236"/>
      <c r="O45" s="236"/>
      <c r="P45" s="236"/>
      <c r="Q45" s="236"/>
      <c r="R45" s="236"/>
      <c r="S45" s="218"/>
      <c r="T45" s="218"/>
      <c r="U45" s="218"/>
      <c r="V45" s="218"/>
      <c r="W45" s="218"/>
      <c r="X45" s="218"/>
      <c r="Y45" s="218"/>
      <c r="Z45" s="218"/>
      <c r="AA45" s="218"/>
      <c r="AB45" s="218"/>
      <c r="AC45" s="218"/>
      <c r="AD45" s="218"/>
      <c r="AE45" s="219"/>
      <c r="AF45" s="219"/>
      <c r="AG45" s="219"/>
      <c r="AH45" s="219"/>
      <c r="AI45" s="219"/>
      <c r="AJ45" s="219"/>
      <c r="AK45" s="219"/>
      <c r="AL45" s="219"/>
      <c r="AM45" s="219"/>
      <c r="AN45" s="219"/>
      <c r="AO45" s="219"/>
      <c r="AP45" s="219"/>
      <c r="AQ45" s="219"/>
      <c r="AR45" s="219"/>
    </row>
    <row r="46" spans="1:44" ht="29" x14ac:dyDescent="0.35">
      <c r="A46" s="202">
        <v>6.2</v>
      </c>
      <c r="B46" s="203" t="s">
        <v>117</v>
      </c>
      <c r="C46" s="204" t="s">
        <v>75</v>
      </c>
      <c r="D46" s="203" t="s">
        <v>118</v>
      </c>
      <c r="E46" s="205"/>
      <c r="F46" s="206" t="s">
        <v>38</v>
      </c>
      <c r="G46" s="232"/>
      <c r="H46" s="205"/>
      <c r="I46" s="206"/>
      <c r="J46" s="236"/>
      <c r="K46" s="236"/>
      <c r="L46" s="236"/>
      <c r="M46" s="236"/>
      <c r="N46" s="236"/>
      <c r="O46" s="236"/>
      <c r="P46" s="236"/>
      <c r="Q46" s="236"/>
      <c r="R46" s="236"/>
      <c r="S46" s="218"/>
      <c r="T46" s="218"/>
      <c r="U46" s="218"/>
      <c r="V46" s="218"/>
      <c r="W46" s="218"/>
      <c r="X46" s="218"/>
      <c r="Y46" s="218"/>
      <c r="Z46" s="218"/>
      <c r="AA46" s="218"/>
      <c r="AB46" s="218"/>
      <c r="AC46" s="218"/>
      <c r="AD46" s="218"/>
      <c r="AE46" s="219"/>
      <c r="AF46" s="219"/>
      <c r="AG46" s="219"/>
      <c r="AH46" s="219"/>
      <c r="AI46" s="219"/>
      <c r="AJ46" s="219"/>
      <c r="AK46" s="219"/>
      <c r="AL46" s="219"/>
      <c r="AM46" s="219"/>
      <c r="AN46" s="219"/>
      <c r="AO46" s="219"/>
      <c r="AP46" s="219"/>
      <c r="AQ46" s="219"/>
      <c r="AR46" s="219"/>
    </row>
    <row r="47" spans="1:44" ht="29" x14ac:dyDescent="0.35">
      <c r="A47" s="202">
        <v>6.7</v>
      </c>
      <c r="B47" s="203" t="s">
        <v>119</v>
      </c>
      <c r="C47" s="204" t="s">
        <v>75</v>
      </c>
      <c r="D47" s="203" t="s">
        <v>120</v>
      </c>
      <c r="E47" s="205"/>
      <c r="F47" s="206" t="s">
        <v>42</v>
      </c>
      <c r="G47" s="232"/>
      <c r="H47" s="205"/>
      <c r="I47" s="206" t="s">
        <v>121</v>
      </c>
      <c r="J47" s="236"/>
      <c r="K47" s="236"/>
      <c r="L47" s="236"/>
      <c r="M47" s="236"/>
      <c r="N47" s="236"/>
      <c r="O47" s="236"/>
      <c r="P47" s="236"/>
      <c r="Q47" s="236"/>
      <c r="R47" s="236"/>
      <c r="S47" s="218"/>
      <c r="T47" s="218"/>
      <c r="U47" s="218"/>
      <c r="V47" s="218"/>
      <c r="W47" s="218"/>
      <c r="X47" s="218"/>
      <c r="Y47" s="218"/>
      <c r="Z47" s="218"/>
      <c r="AA47" s="218"/>
      <c r="AB47" s="218"/>
      <c r="AC47" s="218"/>
      <c r="AD47" s="218"/>
      <c r="AE47" s="219"/>
      <c r="AF47" s="219"/>
      <c r="AG47" s="219"/>
      <c r="AH47" s="219"/>
      <c r="AI47" s="219"/>
      <c r="AJ47" s="219"/>
      <c r="AK47" s="219"/>
      <c r="AL47" s="219"/>
      <c r="AM47" s="219"/>
      <c r="AN47" s="219"/>
      <c r="AO47" s="219"/>
      <c r="AP47" s="219"/>
      <c r="AQ47" s="219"/>
      <c r="AR47" s="219"/>
    </row>
    <row r="48" spans="1:44" ht="29" x14ac:dyDescent="0.35">
      <c r="A48" s="202">
        <v>6.8</v>
      </c>
      <c r="B48" s="203" t="s">
        <v>122</v>
      </c>
      <c r="C48" s="204" t="s">
        <v>75</v>
      </c>
      <c r="D48" s="203" t="s">
        <v>123</v>
      </c>
      <c r="E48" s="205"/>
      <c r="F48" s="206" t="s">
        <v>38</v>
      </c>
      <c r="G48" s="232"/>
      <c r="H48" s="205"/>
      <c r="I48" s="206"/>
      <c r="J48" s="236"/>
      <c r="K48" s="236"/>
      <c r="L48" s="236"/>
      <c r="M48" s="236"/>
      <c r="N48" s="236"/>
      <c r="O48" s="236"/>
      <c r="P48" s="236"/>
      <c r="Q48" s="236"/>
      <c r="R48" s="236"/>
      <c r="S48" s="218"/>
      <c r="T48" s="218"/>
      <c r="U48" s="218"/>
      <c r="V48" s="218"/>
      <c r="W48" s="218"/>
      <c r="X48" s="218"/>
      <c r="Y48" s="218"/>
      <c r="Z48" s="218"/>
      <c r="AA48" s="218"/>
      <c r="AB48" s="218"/>
      <c r="AC48" s="218"/>
      <c r="AD48" s="218"/>
      <c r="AE48" s="219"/>
      <c r="AF48" s="219"/>
      <c r="AG48" s="219"/>
      <c r="AH48" s="219"/>
      <c r="AI48" s="219"/>
      <c r="AJ48" s="219"/>
      <c r="AK48" s="219"/>
      <c r="AL48" s="219"/>
      <c r="AM48" s="219"/>
      <c r="AN48" s="219"/>
      <c r="AO48" s="219"/>
      <c r="AP48" s="219"/>
      <c r="AQ48" s="219"/>
      <c r="AR48" s="219"/>
    </row>
    <row r="49" spans="1:44" ht="43.5" x14ac:dyDescent="0.35">
      <c r="A49" s="202">
        <v>7.3</v>
      </c>
      <c r="B49" s="203" t="s">
        <v>124</v>
      </c>
      <c r="C49" s="204" t="s">
        <v>75</v>
      </c>
      <c r="D49" s="203" t="s">
        <v>125</v>
      </c>
      <c r="E49" s="205"/>
      <c r="F49" s="206" t="s">
        <v>38</v>
      </c>
      <c r="G49" s="232"/>
      <c r="H49" s="205"/>
      <c r="I49" s="206"/>
      <c r="J49" s="236"/>
      <c r="K49" s="236"/>
      <c r="L49" s="236"/>
      <c r="M49" s="236"/>
      <c r="N49" s="236"/>
      <c r="O49" s="236"/>
      <c r="P49" s="236"/>
      <c r="Q49" s="236"/>
      <c r="R49" s="236"/>
      <c r="S49" s="218"/>
      <c r="T49" s="218"/>
      <c r="U49" s="218"/>
      <c r="V49" s="218"/>
      <c r="W49" s="218"/>
      <c r="X49" s="218"/>
      <c r="Y49" s="218"/>
      <c r="Z49" s="218"/>
      <c r="AA49" s="218"/>
      <c r="AB49" s="218"/>
      <c r="AC49" s="218"/>
      <c r="AD49" s="218"/>
      <c r="AE49" s="219"/>
      <c r="AF49" s="219"/>
      <c r="AG49" s="219"/>
      <c r="AH49" s="219"/>
      <c r="AI49" s="219"/>
      <c r="AJ49" s="219"/>
      <c r="AK49" s="219"/>
      <c r="AL49" s="219"/>
      <c r="AM49" s="219"/>
      <c r="AN49" s="219"/>
      <c r="AO49" s="219"/>
      <c r="AP49" s="219"/>
      <c r="AQ49" s="219"/>
      <c r="AR49" s="219"/>
    </row>
    <row r="50" spans="1:44" ht="29" x14ac:dyDescent="0.35">
      <c r="A50" s="202">
        <v>7.5</v>
      </c>
      <c r="B50" s="203" t="s">
        <v>126</v>
      </c>
      <c r="C50" s="204" t="s">
        <v>75</v>
      </c>
      <c r="D50" s="203" t="s">
        <v>127</v>
      </c>
      <c r="E50" s="205" t="s">
        <v>128</v>
      </c>
      <c r="F50" s="206" t="s">
        <v>33</v>
      </c>
      <c r="G50" s="232"/>
      <c r="H50" s="205"/>
      <c r="I50" s="206"/>
      <c r="J50" s="236"/>
      <c r="K50" s="236"/>
      <c r="L50" s="236"/>
      <c r="M50" s="236"/>
      <c r="N50" s="236"/>
      <c r="O50" s="236"/>
      <c r="P50" s="236"/>
      <c r="Q50" s="236"/>
      <c r="R50" s="236"/>
      <c r="S50" s="218"/>
      <c r="T50" s="218"/>
      <c r="U50" s="218"/>
      <c r="V50" s="218"/>
      <c r="W50" s="218"/>
      <c r="X50" s="218"/>
      <c r="Y50" s="218"/>
      <c r="Z50" s="218"/>
      <c r="AA50" s="218"/>
      <c r="AB50" s="218"/>
      <c r="AC50" s="218"/>
      <c r="AD50" s="218"/>
      <c r="AE50" s="219"/>
      <c r="AF50" s="219"/>
      <c r="AG50" s="219"/>
      <c r="AH50" s="219"/>
      <c r="AI50" s="219"/>
      <c r="AJ50" s="219"/>
      <c r="AK50" s="219"/>
      <c r="AL50" s="219"/>
      <c r="AM50" s="219"/>
      <c r="AN50" s="219"/>
      <c r="AO50" s="219"/>
      <c r="AP50" s="219"/>
      <c r="AQ50" s="219"/>
      <c r="AR50" s="219"/>
    </row>
    <row r="51" spans="1:44" ht="43.5" x14ac:dyDescent="0.35">
      <c r="A51" s="202">
        <v>8.3000000000000007</v>
      </c>
      <c r="B51" s="203" t="s">
        <v>129</v>
      </c>
      <c r="C51" s="204" t="s">
        <v>75</v>
      </c>
      <c r="D51" s="203" t="s">
        <v>130</v>
      </c>
      <c r="E51" s="205"/>
      <c r="F51" s="206" t="s">
        <v>33</v>
      </c>
      <c r="G51" s="232"/>
      <c r="H51" s="205"/>
      <c r="I51" s="206"/>
      <c r="J51" s="236"/>
      <c r="K51" s="236"/>
      <c r="L51" s="236"/>
      <c r="M51" s="236"/>
      <c r="N51" s="236"/>
      <c r="O51" s="236"/>
      <c r="P51" s="236"/>
      <c r="Q51" s="236"/>
      <c r="R51" s="236"/>
      <c r="S51" s="218"/>
      <c r="T51" s="218"/>
      <c r="U51" s="218"/>
      <c r="V51" s="218"/>
      <c r="W51" s="218"/>
      <c r="X51" s="218"/>
      <c r="Y51" s="218"/>
      <c r="Z51" s="218"/>
      <c r="AA51" s="218"/>
      <c r="AB51" s="218"/>
      <c r="AC51" s="218"/>
      <c r="AD51" s="218"/>
      <c r="AE51" s="219"/>
      <c r="AF51" s="219"/>
      <c r="AG51" s="219"/>
      <c r="AH51" s="219"/>
      <c r="AI51" s="219"/>
      <c r="AJ51" s="219"/>
      <c r="AK51" s="219"/>
      <c r="AL51" s="219"/>
      <c r="AM51" s="219"/>
      <c r="AN51" s="219"/>
      <c r="AO51" s="219"/>
      <c r="AP51" s="219"/>
      <c r="AQ51" s="219"/>
      <c r="AR51" s="219"/>
    </row>
    <row r="52" spans="1:44" ht="43.5" x14ac:dyDescent="0.35">
      <c r="A52" s="202">
        <v>1.2</v>
      </c>
      <c r="B52" s="203" t="s">
        <v>131</v>
      </c>
      <c r="C52" s="204" t="s">
        <v>132</v>
      </c>
      <c r="D52" s="203" t="s">
        <v>133</v>
      </c>
      <c r="E52" s="205" t="s">
        <v>134</v>
      </c>
      <c r="F52" s="206" t="s">
        <v>15</v>
      </c>
      <c r="G52" s="232"/>
      <c r="H52" s="205"/>
      <c r="I52" s="206" t="s">
        <v>135</v>
      </c>
      <c r="J52" s="236"/>
      <c r="K52" s="236"/>
      <c r="L52" s="236"/>
      <c r="M52" s="236"/>
      <c r="N52" s="236"/>
      <c r="O52" s="236"/>
      <c r="P52" s="236"/>
      <c r="Q52" s="236"/>
      <c r="R52" s="236"/>
      <c r="S52" s="218"/>
      <c r="T52" s="218"/>
      <c r="U52" s="218"/>
      <c r="V52" s="218"/>
      <c r="W52" s="218"/>
      <c r="X52" s="218"/>
      <c r="Y52" s="218"/>
      <c r="Z52" s="218"/>
      <c r="AA52" s="218"/>
      <c r="AB52" s="218"/>
      <c r="AC52" s="218"/>
      <c r="AD52" s="218"/>
      <c r="AE52" s="219"/>
      <c r="AF52" s="219"/>
      <c r="AG52" s="219"/>
      <c r="AH52" s="219"/>
      <c r="AI52" s="219"/>
      <c r="AJ52" s="219"/>
      <c r="AK52" s="219"/>
      <c r="AL52" s="219"/>
      <c r="AM52" s="219"/>
      <c r="AN52" s="219"/>
      <c r="AO52" s="219"/>
      <c r="AP52" s="219"/>
      <c r="AQ52" s="219"/>
      <c r="AR52" s="219"/>
    </row>
    <row r="53" spans="1:44" ht="43.5" x14ac:dyDescent="0.35">
      <c r="A53" s="202">
        <v>4.0999999999999996</v>
      </c>
      <c r="B53" s="203" t="s">
        <v>136</v>
      </c>
      <c r="C53" s="204" t="s">
        <v>132</v>
      </c>
      <c r="D53" s="203" t="s">
        <v>137</v>
      </c>
      <c r="E53" s="205" t="s">
        <v>138</v>
      </c>
      <c r="F53" s="206" t="s">
        <v>38</v>
      </c>
      <c r="G53" s="232"/>
      <c r="H53" s="205"/>
      <c r="I53" s="206"/>
      <c r="J53" s="236"/>
      <c r="K53" s="236"/>
      <c r="L53" s="236"/>
      <c r="M53" s="236"/>
      <c r="N53" s="236"/>
      <c r="O53" s="236"/>
      <c r="P53" s="236"/>
      <c r="Q53" s="236"/>
      <c r="R53" s="236"/>
      <c r="S53" s="218"/>
      <c r="T53" s="218"/>
      <c r="U53" s="218"/>
      <c r="V53" s="218"/>
      <c r="W53" s="218"/>
      <c r="X53" s="218"/>
      <c r="Y53" s="218"/>
      <c r="Z53" s="218"/>
      <c r="AA53" s="218"/>
      <c r="AB53" s="218"/>
      <c r="AC53" s="218"/>
      <c r="AD53" s="218"/>
      <c r="AE53" s="219"/>
      <c r="AF53" s="219"/>
      <c r="AG53" s="219"/>
      <c r="AH53" s="219"/>
      <c r="AI53" s="219"/>
      <c r="AJ53" s="219"/>
      <c r="AK53" s="219"/>
      <c r="AL53" s="219"/>
      <c r="AM53" s="219"/>
      <c r="AN53" s="219"/>
      <c r="AO53" s="219"/>
      <c r="AP53" s="219"/>
      <c r="AQ53" s="219"/>
      <c r="AR53" s="219"/>
    </row>
    <row r="54" spans="1:44" ht="29" x14ac:dyDescent="0.35">
      <c r="A54" s="202">
        <v>4.3</v>
      </c>
      <c r="B54" s="203" t="s">
        <v>139</v>
      </c>
      <c r="C54" s="204" t="s">
        <v>132</v>
      </c>
      <c r="D54" s="203" t="s">
        <v>140</v>
      </c>
      <c r="E54" s="205" t="s">
        <v>141</v>
      </c>
      <c r="F54" s="206" t="s">
        <v>15</v>
      </c>
      <c r="G54" s="232"/>
      <c r="H54" s="205" t="s">
        <v>142</v>
      </c>
      <c r="I54" s="206"/>
      <c r="J54" s="236"/>
      <c r="K54" s="236"/>
      <c r="L54" s="236"/>
      <c r="M54" s="236"/>
      <c r="N54" s="236"/>
      <c r="O54" s="236"/>
      <c r="P54" s="236"/>
      <c r="Q54" s="236"/>
      <c r="R54" s="236"/>
      <c r="S54" s="218"/>
      <c r="T54" s="218"/>
      <c r="U54" s="218"/>
      <c r="V54" s="218"/>
      <c r="W54" s="218"/>
      <c r="X54" s="218"/>
      <c r="Y54" s="218"/>
      <c r="Z54" s="218"/>
      <c r="AA54" s="218"/>
      <c r="AB54" s="218"/>
      <c r="AC54" s="218"/>
      <c r="AD54" s="218"/>
      <c r="AE54" s="219"/>
      <c r="AF54" s="219"/>
      <c r="AG54" s="219"/>
      <c r="AH54" s="219"/>
      <c r="AI54" s="219"/>
      <c r="AJ54" s="219"/>
      <c r="AK54" s="219"/>
      <c r="AL54" s="219"/>
      <c r="AM54" s="219"/>
      <c r="AN54" s="219"/>
      <c r="AO54" s="219"/>
      <c r="AP54" s="219"/>
      <c r="AQ54" s="219"/>
      <c r="AR54" s="219"/>
    </row>
    <row r="55" spans="1:44" ht="29" x14ac:dyDescent="0.35">
      <c r="A55" s="202">
        <v>5.1100000000000003</v>
      </c>
      <c r="B55" s="203" t="s">
        <v>143</v>
      </c>
      <c r="C55" s="204" t="s">
        <v>132</v>
      </c>
      <c r="D55" s="203" t="s">
        <v>21</v>
      </c>
      <c r="E55" s="205" t="s">
        <v>144</v>
      </c>
      <c r="F55" s="206" t="s">
        <v>15</v>
      </c>
      <c r="G55" s="232"/>
      <c r="H55" s="205"/>
      <c r="I55" s="206" t="s">
        <v>145</v>
      </c>
      <c r="J55" s="236"/>
      <c r="K55" s="236"/>
      <c r="L55" s="236"/>
      <c r="M55" s="236"/>
      <c r="N55" s="236"/>
      <c r="O55" s="236"/>
      <c r="P55" s="236"/>
      <c r="Q55" s="236"/>
      <c r="R55" s="236"/>
      <c r="S55" s="218"/>
      <c r="T55" s="218"/>
      <c r="U55" s="218"/>
      <c r="V55" s="218"/>
      <c r="W55" s="218"/>
      <c r="X55" s="218"/>
      <c r="Y55" s="218"/>
      <c r="Z55" s="218"/>
      <c r="AA55" s="218"/>
      <c r="AB55" s="218"/>
      <c r="AC55" s="218"/>
      <c r="AD55" s="218"/>
      <c r="AE55" s="219"/>
      <c r="AF55" s="219"/>
      <c r="AG55" s="219"/>
      <c r="AH55" s="219"/>
      <c r="AI55" s="219"/>
      <c r="AJ55" s="219"/>
      <c r="AK55" s="219"/>
      <c r="AL55" s="219"/>
      <c r="AM55" s="219"/>
      <c r="AN55" s="219"/>
      <c r="AO55" s="219"/>
      <c r="AP55" s="219"/>
      <c r="AQ55" s="219"/>
      <c r="AR55" s="219"/>
    </row>
    <row r="56" spans="1:44" ht="43.5" x14ac:dyDescent="0.35">
      <c r="A56" s="202">
        <v>5.12</v>
      </c>
      <c r="B56" s="203" t="s">
        <v>146</v>
      </c>
      <c r="C56" s="204" t="s">
        <v>132</v>
      </c>
      <c r="D56" s="203" t="s">
        <v>21</v>
      </c>
      <c r="E56" s="205" t="s">
        <v>147</v>
      </c>
      <c r="F56" s="206" t="s">
        <v>15</v>
      </c>
      <c r="G56" s="232"/>
      <c r="H56" s="205"/>
      <c r="I56" s="206" t="s">
        <v>145</v>
      </c>
      <c r="J56" s="236"/>
      <c r="K56" s="236"/>
      <c r="L56" s="236"/>
      <c r="M56" s="236"/>
      <c r="N56" s="236"/>
      <c r="O56" s="236"/>
      <c r="P56" s="236"/>
      <c r="Q56" s="236"/>
      <c r="R56" s="236"/>
      <c r="S56" s="218"/>
      <c r="T56" s="218"/>
      <c r="U56" s="218"/>
      <c r="V56" s="218"/>
      <c r="W56" s="218"/>
      <c r="X56" s="218"/>
      <c r="Y56" s="218"/>
      <c r="Z56" s="218"/>
      <c r="AA56" s="218"/>
      <c r="AB56" s="218"/>
      <c r="AC56" s="218"/>
      <c r="AD56" s="218"/>
      <c r="AE56" s="219"/>
      <c r="AF56" s="219"/>
      <c r="AG56" s="219"/>
      <c r="AH56" s="219"/>
      <c r="AI56" s="219"/>
      <c r="AJ56" s="219"/>
      <c r="AK56" s="219"/>
      <c r="AL56" s="219"/>
      <c r="AM56" s="219"/>
      <c r="AN56" s="219"/>
      <c r="AO56" s="219"/>
      <c r="AP56" s="219"/>
      <c r="AQ56" s="219"/>
      <c r="AR56" s="219"/>
    </row>
    <row r="57" spans="1:44" ht="29" x14ac:dyDescent="0.35">
      <c r="A57" s="202">
        <v>5.13</v>
      </c>
      <c r="B57" s="203" t="s">
        <v>148</v>
      </c>
      <c r="C57" s="204" t="s">
        <v>132</v>
      </c>
      <c r="D57" s="203" t="s">
        <v>21</v>
      </c>
      <c r="E57" s="205" t="s">
        <v>144</v>
      </c>
      <c r="F57" s="206" t="s">
        <v>15</v>
      </c>
      <c r="G57" s="232"/>
      <c r="H57" s="205"/>
      <c r="I57" s="206" t="s">
        <v>145</v>
      </c>
      <c r="J57" s="236"/>
      <c r="K57" s="236"/>
      <c r="L57" s="236"/>
      <c r="M57" s="236"/>
      <c r="N57" s="236"/>
      <c r="O57" s="236"/>
      <c r="P57" s="236"/>
      <c r="Q57" s="236"/>
      <c r="R57" s="236"/>
      <c r="S57" s="218"/>
      <c r="T57" s="218"/>
      <c r="U57" s="218"/>
      <c r="V57" s="218"/>
      <c r="W57" s="218"/>
      <c r="X57" s="218"/>
      <c r="Y57" s="218"/>
      <c r="Z57" s="218"/>
      <c r="AA57" s="218"/>
      <c r="AB57" s="218"/>
      <c r="AC57" s="218"/>
      <c r="AD57" s="218"/>
      <c r="AE57" s="219"/>
      <c r="AF57" s="219"/>
      <c r="AG57" s="219"/>
      <c r="AH57" s="219"/>
      <c r="AI57" s="219"/>
      <c r="AJ57" s="219"/>
      <c r="AK57" s="219"/>
      <c r="AL57" s="219"/>
      <c r="AM57" s="219"/>
      <c r="AN57" s="219"/>
      <c r="AO57" s="219"/>
      <c r="AP57" s="219"/>
      <c r="AQ57" s="219"/>
      <c r="AR57" s="219"/>
    </row>
    <row r="58" spans="1:44" ht="29" x14ac:dyDescent="0.35">
      <c r="A58" s="202">
        <v>5.14</v>
      </c>
      <c r="B58" s="203" t="s">
        <v>149</v>
      </c>
      <c r="C58" s="204" t="s">
        <v>132</v>
      </c>
      <c r="D58" s="203" t="s">
        <v>21</v>
      </c>
      <c r="E58" s="205" t="s">
        <v>144</v>
      </c>
      <c r="F58" s="206" t="s">
        <v>15</v>
      </c>
      <c r="G58" s="232"/>
      <c r="H58" s="205"/>
      <c r="I58" s="206" t="s">
        <v>145</v>
      </c>
      <c r="J58" s="236"/>
      <c r="K58" s="236"/>
      <c r="L58" s="236"/>
      <c r="M58" s="236"/>
      <c r="N58" s="236"/>
      <c r="O58" s="236"/>
      <c r="P58" s="236"/>
      <c r="Q58" s="236"/>
      <c r="R58" s="236"/>
      <c r="S58" s="218"/>
      <c r="T58" s="218"/>
      <c r="U58" s="218"/>
      <c r="V58" s="218"/>
      <c r="W58" s="218"/>
      <c r="X58" s="218"/>
      <c r="Y58" s="218"/>
      <c r="Z58" s="218"/>
      <c r="AA58" s="218"/>
      <c r="AB58" s="218"/>
      <c r="AC58" s="218"/>
      <c r="AD58" s="218"/>
      <c r="AE58" s="219"/>
      <c r="AF58" s="219"/>
      <c r="AG58" s="219"/>
      <c r="AH58" s="219"/>
      <c r="AI58" s="219"/>
      <c r="AJ58" s="219"/>
      <c r="AK58" s="219"/>
      <c r="AL58" s="219"/>
      <c r="AM58" s="219"/>
      <c r="AN58" s="219"/>
      <c r="AO58" s="219"/>
      <c r="AP58" s="219"/>
      <c r="AQ58" s="219"/>
      <c r="AR58" s="219"/>
    </row>
    <row r="59" spans="1:44" ht="43.5" x14ac:dyDescent="0.35">
      <c r="A59" s="202">
        <v>5.15</v>
      </c>
      <c r="B59" s="203" t="s">
        <v>150</v>
      </c>
      <c r="C59" s="204" t="s">
        <v>132</v>
      </c>
      <c r="D59" s="203" t="s">
        <v>21</v>
      </c>
      <c r="E59" s="205" t="s">
        <v>144</v>
      </c>
      <c r="F59" s="206" t="s">
        <v>15</v>
      </c>
      <c r="G59" s="232"/>
      <c r="H59" s="205"/>
      <c r="I59" s="206" t="s">
        <v>145</v>
      </c>
      <c r="J59" s="236"/>
      <c r="K59" s="236"/>
      <c r="L59" s="236"/>
      <c r="M59" s="236"/>
      <c r="N59" s="236"/>
      <c r="O59" s="236"/>
      <c r="P59" s="236"/>
      <c r="Q59" s="236"/>
      <c r="R59" s="236"/>
      <c r="S59" s="218"/>
      <c r="T59" s="218"/>
      <c r="U59" s="218"/>
      <c r="V59" s="218"/>
      <c r="W59" s="218"/>
      <c r="X59" s="218"/>
      <c r="Y59" s="218"/>
      <c r="Z59" s="218"/>
      <c r="AA59" s="218"/>
      <c r="AB59" s="218"/>
      <c r="AC59" s="218"/>
      <c r="AD59" s="218"/>
      <c r="AE59" s="219"/>
      <c r="AF59" s="219"/>
      <c r="AG59" s="219"/>
      <c r="AH59" s="219"/>
      <c r="AI59" s="219"/>
      <c r="AJ59" s="219"/>
      <c r="AK59" s="219"/>
      <c r="AL59" s="219"/>
      <c r="AM59" s="219"/>
      <c r="AN59" s="219"/>
      <c r="AO59" s="219"/>
      <c r="AP59" s="219"/>
      <c r="AQ59" s="219"/>
      <c r="AR59" s="219"/>
    </row>
    <row r="60" spans="1:44" ht="43.5" x14ac:dyDescent="0.35">
      <c r="A60" s="202">
        <v>5.16</v>
      </c>
      <c r="B60" s="203" t="s">
        <v>151</v>
      </c>
      <c r="C60" s="204" t="s">
        <v>132</v>
      </c>
      <c r="D60" s="203" t="s">
        <v>21</v>
      </c>
      <c r="E60" s="205" t="s">
        <v>144</v>
      </c>
      <c r="F60" s="206" t="s">
        <v>15</v>
      </c>
      <c r="G60" s="232"/>
      <c r="H60" s="205"/>
      <c r="I60" s="206" t="s">
        <v>145</v>
      </c>
      <c r="J60" s="236"/>
      <c r="K60" s="236"/>
      <c r="L60" s="236"/>
      <c r="M60" s="236"/>
      <c r="N60" s="236"/>
      <c r="O60" s="236"/>
      <c r="P60" s="236"/>
      <c r="Q60" s="236"/>
      <c r="R60" s="236"/>
      <c r="S60" s="218"/>
      <c r="T60" s="218"/>
      <c r="U60" s="218"/>
      <c r="V60" s="218"/>
      <c r="W60" s="218"/>
      <c r="X60" s="218"/>
      <c r="Y60" s="218"/>
      <c r="Z60" s="218"/>
      <c r="AA60" s="218"/>
      <c r="AB60" s="218"/>
      <c r="AC60" s="218"/>
      <c r="AD60" s="218"/>
      <c r="AE60" s="219"/>
      <c r="AF60" s="219"/>
      <c r="AG60" s="219"/>
      <c r="AH60" s="219"/>
      <c r="AI60" s="219"/>
      <c r="AJ60" s="219"/>
      <c r="AK60" s="219"/>
      <c r="AL60" s="219"/>
      <c r="AM60" s="219"/>
      <c r="AN60" s="219"/>
      <c r="AO60" s="219"/>
      <c r="AP60" s="219"/>
      <c r="AQ60" s="219"/>
      <c r="AR60" s="219"/>
    </row>
    <row r="61" spans="1:44" ht="29" x14ac:dyDescent="0.35">
      <c r="A61" s="202">
        <v>6.4</v>
      </c>
      <c r="B61" s="203" t="s">
        <v>152</v>
      </c>
      <c r="C61" s="204" t="s">
        <v>132</v>
      </c>
      <c r="D61" s="203" t="s">
        <v>153</v>
      </c>
      <c r="E61" s="205" t="s">
        <v>154</v>
      </c>
      <c r="F61" s="206" t="s">
        <v>15</v>
      </c>
      <c r="G61" s="232"/>
      <c r="H61" s="205"/>
      <c r="I61" s="206"/>
      <c r="J61" s="236"/>
      <c r="K61" s="236"/>
      <c r="L61" s="236"/>
      <c r="M61" s="236"/>
      <c r="N61" s="236"/>
      <c r="O61" s="236"/>
      <c r="P61" s="236"/>
      <c r="Q61" s="236"/>
      <c r="R61" s="236"/>
      <c r="S61" s="218"/>
      <c r="T61" s="218"/>
      <c r="U61" s="218"/>
      <c r="V61" s="218"/>
      <c r="W61" s="218"/>
      <c r="X61" s="218"/>
      <c r="Y61" s="218"/>
      <c r="Z61" s="218"/>
      <c r="AA61" s="218"/>
      <c r="AB61" s="218"/>
      <c r="AC61" s="218"/>
      <c r="AD61" s="218"/>
      <c r="AE61" s="219"/>
      <c r="AF61" s="219"/>
      <c r="AG61" s="219"/>
      <c r="AH61" s="219"/>
      <c r="AI61" s="219"/>
      <c r="AJ61" s="219"/>
      <c r="AK61" s="219"/>
      <c r="AL61" s="219"/>
      <c r="AM61" s="219"/>
      <c r="AN61" s="219"/>
      <c r="AO61" s="219"/>
      <c r="AP61" s="219"/>
      <c r="AQ61" s="219"/>
      <c r="AR61" s="219"/>
    </row>
    <row r="62" spans="1:44" ht="29" x14ac:dyDescent="0.35">
      <c r="A62" s="202">
        <v>6.5</v>
      </c>
      <c r="B62" s="203" t="s">
        <v>155</v>
      </c>
      <c r="C62" s="204" t="s">
        <v>132</v>
      </c>
      <c r="D62" s="203" t="s">
        <v>156</v>
      </c>
      <c r="E62" s="205" t="s">
        <v>157</v>
      </c>
      <c r="F62" s="206" t="s">
        <v>15</v>
      </c>
      <c r="G62" s="232"/>
      <c r="H62" s="205"/>
      <c r="I62" s="206"/>
      <c r="J62" s="236"/>
      <c r="K62" s="236"/>
      <c r="L62" s="236"/>
      <c r="M62" s="236"/>
      <c r="N62" s="236"/>
      <c r="O62" s="236"/>
      <c r="P62" s="236"/>
      <c r="Q62" s="236"/>
      <c r="R62" s="236"/>
      <c r="S62" s="218"/>
      <c r="T62" s="218"/>
      <c r="U62" s="218"/>
      <c r="V62" s="218"/>
      <c r="W62" s="218"/>
      <c r="X62" s="218"/>
      <c r="Y62" s="218"/>
      <c r="Z62" s="218"/>
      <c r="AA62" s="218"/>
      <c r="AB62" s="218"/>
      <c r="AC62" s="218"/>
      <c r="AD62" s="218"/>
      <c r="AE62" s="219"/>
      <c r="AF62" s="219"/>
      <c r="AG62" s="219"/>
      <c r="AH62" s="219"/>
      <c r="AI62" s="219"/>
      <c r="AJ62" s="219"/>
      <c r="AK62" s="219"/>
      <c r="AL62" s="219"/>
      <c r="AM62" s="219"/>
      <c r="AN62" s="219"/>
      <c r="AO62" s="219"/>
      <c r="AP62" s="219"/>
      <c r="AQ62" s="219"/>
      <c r="AR62" s="219"/>
    </row>
    <row r="63" spans="1:44" ht="58" x14ac:dyDescent="0.35">
      <c r="A63" s="202">
        <v>7.1</v>
      </c>
      <c r="B63" s="203" t="s">
        <v>158</v>
      </c>
      <c r="C63" s="204" t="s">
        <v>132</v>
      </c>
      <c r="D63" s="203" t="s">
        <v>159</v>
      </c>
      <c r="E63" s="205" t="s">
        <v>160</v>
      </c>
      <c r="F63" s="206" t="s">
        <v>38</v>
      </c>
      <c r="G63" s="232"/>
      <c r="H63" s="205"/>
      <c r="I63" s="206"/>
      <c r="J63" s="236"/>
      <c r="K63" s="236"/>
      <c r="L63" s="236"/>
      <c r="M63" s="236"/>
      <c r="N63" s="236"/>
      <c r="O63" s="236"/>
      <c r="P63" s="236"/>
      <c r="Q63" s="236"/>
      <c r="R63" s="236"/>
      <c r="S63" s="218"/>
      <c r="T63" s="218"/>
      <c r="U63" s="218"/>
      <c r="V63" s="218"/>
      <c r="W63" s="218"/>
      <c r="X63" s="218"/>
      <c r="Y63" s="218"/>
      <c r="Z63" s="218"/>
      <c r="AA63" s="218"/>
      <c r="AB63" s="218"/>
      <c r="AC63" s="218"/>
      <c r="AD63" s="218"/>
      <c r="AE63" s="219"/>
      <c r="AF63" s="219"/>
      <c r="AG63" s="219"/>
      <c r="AH63" s="219"/>
      <c r="AI63" s="219"/>
      <c r="AJ63" s="219"/>
      <c r="AK63" s="219"/>
      <c r="AL63" s="219"/>
      <c r="AM63" s="219"/>
      <c r="AN63" s="219"/>
      <c r="AO63" s="219"/>
      <c r="AP63" s="219"/>
      <c r="AQ63" s="219"/>
      <c r="AR63" s="219"/>
    </row>
    <row r="64" spans="1:44" ht="58" x14ac:dyDescent="0.35">
      <c r="A64" s="202">
        <v>8.1199999999999992</v>
      </c>
      <c r="B64" s="203" t="s">
        <v>161</v>
      </c>
      <c r="C64" s="204" t="s">
        <v>132</v>
      </c>
      <c r="D64" s="203" t="s">
        <v>21</v>
      </c>
      <c r="E64" s="205"/>
      <c r="F64" s="206" t="s">
        <v>15</v>
      </c>
      <c r="G64" s="232"/>
      <c r="H64" s="205"/>
      <c r="I64" s="206"/>
      <c r="J64" s="236"/>
      <c r="K64" s="236"/>
      <c r="L64" s="236"/>
      <c r="M64" s="236"/>
      <c r="N64" s="236"/>
      <c r="O64" s="236"/>
      <c r="P64" s="236"/>
      <c r="Q64" s="236"/>
      <c r="R64" s="236"/>
      <c r="S64" s="218"/>
      <c r="T64" s="218"/>
      <c r="U64" s="218"/>
      <c r="V64" s="218"/>
      <c r="W64" s="218"/>
      <c r="X64" s="218"/>
      <c r="Y64" s="218"/>
      <c r="Z64" s="218"/>
      <c r="AA64" s="218"/>
      <c r="AB64" s="218"/>
      <c r="AC64" s="218"/>
      <c r="AD64" s="218"/>
      <c r="AE64" s="219"/>
      <c r="AF64" s="219"/>
      <c r="AG64" s="219"/>
      <c r="AH64" s="219"/>
      <c r="AI64" s="219"/>
      <c r="AJ64" s="219"/>
      <c r="AK64" s="219"/>
      <c r="AL64" s="219"/>
      <c r="AM64" s="219"/>
      <c r="AN64" s="219"/>
      <c r="AO64" s="219"/>
      <c r="AP64" s="219"/>
      <c r="AQ64" s="219"/>
      <c r="AR64" s="219"/>
    </row>
    <row r="65" spans="1:44" ht="29" x14ac:dyDescent="0.35">
      <c r="A65" s="202">
        <v>8.1300000000000008</v>
      </c>
      <c r="B65" s="203" t="s">
        <v>162</v>
      </c>
      <c r="C65" s="204" t="s">
        <v>132</v>
      </c>
      <c r="D65" s="203" t="s">
        <v>163</v>
      </c>
      <c r="E65" s="205" t="s">
        <v>164</v>
      </c>
      <c r="F65" s="206" t="s">
        <v>42</v>
      </c>
      <c r="G65" s="232"/>
      <c r="H65" s="205"/>
      <c r="I65" s="206"/>
      <c r="J65" s="236"/>
      <c r="K65" s="236"/>
      <c r="L65" s="236"/>
      <c r="M65" s="236"/>
      <c r="N65" s="236"/>
      <c r="O65" s="236"/>
      <c r="P65" s="236"/>
      <c r="Q65" s="236"/>
      <c r="R65" s="236"/>
      <c r="S65" s="218"/>
      <c r="T65" s="218"/>
      <c r="U65" s="218"/>
      <c r="V65" s="218"/>
      <c r="W65" s="218"/>
      <c r="X65" s="218"/>
      <c r="Y65" s="218"/>
      <c r="Z65" s="218"/>
      <c r="AA65" s="218"/>
      <c r="AB65" s="218"/>
      <c r="AC65" s="218"/>
      <c r="AD65" s="218"/>
      <c r="AE65" s="219"/>
      <c r="AF65" s="219"/>
      <c r="AG65" s="219"/>
      <c r="AH65" s="219"/>
      <c r="AI65" s="219"/>
      <c r="AJ65" s="219"/>
      <c r="AK65" s="219"/>
      <c r="AL65" s="219"/>
      <c r="AM65" s="219"/>
      <c r="AN65" s="219"/>
      <c r="AO65" s="219"/>
      <c r="AP65" s="219"/>
      <c r="AQ65" s="219"/>
      <c r="AR65" s="219"/>
    </row>
    <row r="66" spans="1:44" ht="43.5" x14ac:dyDescent="0.35">
      <c r="A66" s="202">
        <v>1.6</v>
      </c>
      <c r="B66" s="203" t="s">
        <v>165</v>
      </c>
      <c r="C66" s="204" t="s">
        <v>166</v>
      </c>
      <c r="D66" s="203" t="s">
        <v>167</v>
      </c>
      <c r="E66" s="205"/>
      <c r="F66" s="206" t="s">
        <v>15</v>
      </c>
      <c r="G66" s="232"/>
      <c r="H66" s="205"/>
      <c r="I66" s="206"/>
      <c r="J66" s="236"/>
      <c r="K66" s="236"/>
      <c r="L66" s="236"/>
      <c r="M66" s="236"/>
      <c r="N66" s="236"/>
      <c r="O66" s="236"/>
      <c r="P66" s="236"/>
      <c r="Q66" s="236"/>
      <c r="R66" s="236"/>
      <c r="S66" s="218"/>
      <c r="T66" s="218"/>
      <c r="U66" s="218"/>
      <c r="V66" s="218"/>
      <c r="W66" s="218"/>
      <c r="X66" s="218"/>
      <c r="Y66" s="218"/>
      <c r="Z66" s="218"/>
      <c r="AA66" s="218"/>
      <c r="AB66" s="218"/>
      <c r="AC66" s="218"/>
      <c r="AD66" s="218"/>
      <c r="AE66" s="219"/>
      <c r="AF66" s="219"/>
      <c r="AG66" s="219"/>
      <c r="AH66" s="219"/>
      <c r="AI66" s="219"/>
      <c r="AJ66" s="219"/>
      <c r="AK66" s="219"/>
      <c r="AL66" s="219"/>
      <c r="AM66" s="219"/>
      <c r="AN66" s="219"/>
      <c r="AO66" s="219"/>
      <c r="AP66" s="219"/>
      <c r="AQ66" s="219"/>
      <c r="AR66" s="219"/>
    </row>
    <row r="67" spans="1:44" ht="43.5" x14ac:dyDescent="0.35">
      <c r="A67" s="202">
        <v>7.11</v>
      </c>
      <c r="B67" s="203" t="s">
        <v>168</v>
      </c>
      <c r="C67" s="204" t="s">
        <v>169</v>
      </c>
      <c r="D67" s="203" t="s">
        <v>170</v>
      </c>
      <c r="E67" s="205" t="s">
        <v>171</v>
      </c>
      <c r="F67" s="206" t="s">
        <v>38</v>
      </c>
      <c r="G67" s="232"/>
      <c r="H67" s="205"/>
      <c r="I67" s="206"/>
      <c r="J67" s="236"/>
      <c r="K67" s="236"/>
      <c r="L67" s="236"/>
      <c r="M67" s="236"/>
      <c r="N67" s="236"/>
      <c r="O67" s="236"/>
      <c r="P67" s="236"/>
      <c r="Q67" s="236"/>
      <c r="R67" s="236"/>
      <c r="S67" s="218"/>
      <c r="T67" s="218"/>
      <c r="U67" s="218"/>
      <c r="V67" s="218"/>
      <c r="W67" s="218"/>
      <c r="X67" s="218"/>
      <c r="Y67" s="218"/>
      <c r="Z67" s="218"/>
      <c r="AA67" s="218"/>
      <c r="AB67" s="218"/>
      <c r="AC67" s="218"/>
      <c r="AD67" s="218"/>
      <c r="AE67" s="219"/>
      <c r="AF67" s="219"/>
      <c r="AG67" s="219"/>
      <c r="AH67" s="219"/>
      <c r="AI67" s="219"/>
      <c r="AJ67" s="219"/>
      <c r="AK67" s="219"/>
      <c r="AL67" s="219"/>
      <c r="AM67" s="219"/>
      <c r="AN67" s="219"/>
      <c r="AO67" s="219"/>
      <c r="AP67" s="219"/>
      <c r="AQ67" s="219"/>
      <c r="AR67" s="219"/>
    </row>
    <row r="68" spans="1:44" ht="29" x14ac:dyDescent="0.35">
      <c r="A68" s="202">
        <v>1.1000000000000001</v>
      </c>
      <c r="B68" s="203" t="s">
        <v>172</v>
      </c>
      <c r="C68" s="204" t="s">
        <v>173</v>
      </c>
      <c r="D68" s="203" t="s">
        <v>174</v>
      </c>
      <c r="E68" s="205"/>
      <c r="F68" s="206" t="s">
        <v>66</v>
      </c>
      <c r="G68" s="232"/>
      <c r="H68" s="205" t="s">
        <v>623</v>
      </c>
      <c r="I68" s="206"/>
      <c r="J68" s="236"/>
      <c r="K68" s="236"/>
      <c r="L68" s="236"/>
      <c r="M68" s="236"/>
      <c r="N68" s="236"/>
      <c r="O68" s="236"/>
      <c r="P68" s="236"/>
      <c r="Q68" s="236"/>
      <c r="R68" s="236"/>
      <c r="S68" s="218"/>
      <c r="T68" s="218"/>
      <c r="U68" s="218"/>
      <c r="V68" s="218"/>
      <c r="W68" s="218"/>
      <c r="X68" s="218"/>
      <c r="Y68" s="218"/>
      <c r="Z68" s="218"/>
      <c r="AA68" s="218"/>
      <c r="AB68" s="218"/>
      <c r="AC68" s="218"/>
      <c r="AD68" s="218"/>
      <c r="AE68" s="219"/>
      <c r="AF68" s="219"/>
      <c r="AG68" s="219"/>
      <c r="AH68" s="219"/>
      <c r="AI68" s="219"/>
      <c r="AJ68" s="219"/>
      <c r="AK68" s="219"/>
      <c r="AL68" s="219"/>
      <c r="AM68" s="219"/>
      <c r="AN68" s="219"/>
      <c r="AO68" s="219"/>
      <c r="AP68" s="219"/>
      <c r="AQ68" s="219"/>
      <c r="AR68" s="219"/>
    </row>
    <row r="69" spans="1:44" ht="29" x14ac:dyDescent="0.35">
      <c r="A69" s="202">
        <v>1.4</v>
      </c>
      <c r="B69" s="203" t="s">
        <v>175</v>
      </c>
      <c r="C69" s="204" t="s">
        <v>173</v>
      </c>
      <c r="D69" s="203" t="s">
        <v>176</v>
      </c>
      <c r="E69" s="205" t="s">
        <v>177</v>
      </c>
      <c r="F69" s="206" t="s">
        <v>42</v>
      </c>
      <c r="G69" s="232"/>
      <c r="H69" s="205" t="s">
        <v>625</v>
      </c>
      <c r="I69" s="206" t="s">
        <v>178</v>
      </c>
      <c r="J69" s="236"/>
      <c r="K69" s="236"/>
      <c r="L69" s="236"/>
      <c r="M69" s="236"/>
      <c r="N69" s="236"/>
      <c r="O69" s="236"/>
      <c r="P69" s="236"/>
      <c r="Q69" s="236"/>
      <c r="R69" s="236"/>
      <c r="S69" s="218"/>
      <c r="T69" s="218"/>
      <c r="U69" s="218"/>
      <c r="V69" s="218"/>
      <c r="W69" s="218"/>
      <c r="X69" s="218"/>
      <c r="Y69" s="218"/>
      <c r="Z69" s="218"/>
      <c r="AA69" s="218"/>
      <c r="AB69" s="218"/>
      <c r="AC69" s="218"/>
      <c r="AD69" s="218"/>
      <c r="AE69" s="219"/>
      <c r="AF69" s="219"/>
      <c r="AG69" s="219"/>
      <c r="AH69" s="219"/>
      <c r="AI69" s="219"/>
      <c r="AJ69" s="219"/>
      <c r="AK69" s="219"/>
      <c r="AL69" s="219"/>
      <c r="AM69" s="219"/>
      <c r="AN69" s="219"/>
      <c r="AO69" s="219"/>
      <c r="AP69" s="219"/>
      <c r="AQ69" s="219"/>
      <c r="AR69" s="219"/>
    </row>
    <row r="70" spans="1:44" ht="29" x14ac:dyDescent="0.35">
      <c r="A70" s="202">
        <v>1.6</v>
      </c>
      <c r="B70" s="203" t="s">
        <v>179</v>
      </c>
      <c r="C70" s="204" t="s">
        <v>173</v>
      </c>
      <c r="D70" s="203" t="s">
        <v>180</v>
      </c>
      <c r="E70" s="205"/>
      <c r="F70" s="206" t="s">
        <v>66</v>
      </c>
      <c r="G70" s="232"/>
      <c r="H70" s="205"/>
      <c r="I70" s="206"/>
      <c r="J70" s="236"/>
      <c r="K70" s="236"/>
      <c r="L70" s="236"/>
      <c r="M70" s="236"/>
      <c r="N70" s="236"/>
      <c r="O70" s="236"/>
      <c r="P70" s="236"/>
      <c r="Q70" s="236"/>
      <c r="R70" s="236"/>
      <c r="S70" s="218"/>
      <c r="T70" s="218"/>
      <c r="U70" s="218"/>
      <c r="V70" s="218"/>
      <c r="W70" s="218"/>
      <c r="X70" s="218"/>
      <c r="Y70" s="218"/>
      <c r="Z70" s="218"/>
      <c r="AA70" s="218"/>
      <c r="AB70" s="218"/>
      <c r="AC70" s="218"/>
      <c r="AD70" s="218"/>
      <c r="AE70" s="219"/>
      <c r="AF70" s="219"/>
      <c r="AG70" s="219"/>
      <c r="AH70" s="219"/>
      <c r="AI70" s="219"/>
      <c r="AJ70" s="219"/>
      <c r="AK70" s="219"/>
      <c r="AL70" s="219"/>
      <c r="AM70" s="219"/>
      <c r="AN70" s="219"/>
      <c r="AO70" s="219"/>
      <c r="AP70" s="219"/>
      <c r="AQ70" s="219"/>
      <c r="AR70" s="219"/>
    </row>
    <row r="71" spans="1:44" ht="29" x14ac:dyDescent="0.35">
      <c r="A71" s="202">
        <v>1.7</v>
      </c>
      <c r="B71" s="203" t="s">
        <v>181</v>
      </c>
      <c r="C71" s="204" t="s">
        <v>173</v>
      </c>
      <c r="D71" s="203" t="s">
        <v>174</v>
      </c>
      <c r="E71" s="205"/>
      <c r="F71" s="206" t="s">
        <v>33</v>
      </c>
      <c r="G71" s="232"/>
      <c r="H71" s="205"/>
      <c r="I71" s="206"/>
      <c r="J71" s="236"/>
      <c r="K71" s="236"/>
      <c r="L71" s="236"/>
      <c r="M71" s="236"/>
      <c r="N71" s="236"/>
      <c r="O71" s="236"/>
      <c r="P71" s="236"/>
      <c r="Q71" s="236"/>
      <c r="R71" s="236"/>
      <c r="S71" s="218"/>
      <c r="T71" s="218"/>
      <c r="U71" s="218"/>
      <c r="V71" s="218"/>
      <c r="W71" s="218"/>
      <c r="X71" s="218"/>
      <c r="Y71" s="218"/>
      <c r="Z71" s="218"/>
      <c r="AA71" s="218"/>
      <c r="AB71" s="218"/>
      <c r="AC71" s="218"/>
      <c r="AD71" s="218"/>
      <c r="AE71" s="219"/>
      <c r="AF71" s="219"/>
      <c r="AG71" s="219"/>
      <c r="AH71" s="219"/>
      <c r="AI71" s="219"/>
      <c r="AJ71" s="219"/>
      <c r="AK71" s="219"/>
      <c r="AL71" s="219"/>
      <c r="AM71" s="219"/>
      <c r="AN71" s="219"/>
      <c r="AO71" s="219"/>
      <c r="AP71" s="219"/>
      <c r="AQ71" s="219"/>
      <c r="AR71" s="219"/>
    </row>
    <row r="72" spans="1:44" ht="29" x14ac:dyDescent="0.35">
      <c r="A72" s="202">
        <v>1.9</v>
      </c>
      <c r="B72" s="203" t="s">
        <v>182</v>
      </c>
      <c r="C72" s="204" t="s">
        <v>173</v>
      </c>
      <c r="D72" s="203" t="s">
        <v>183</v>
      </c>
      <c r="E72" s="205" t="s">
        <v>184</v>
      </c>
      <c r="F72" s="206" t="s">
        <v>66</v>
      </c>
      <c r="G72" s="232"/>
      <c r="H72" s="205" t="s">
        <v>185</v>
      </c>
      <c r="I72" s="206"/>
      <c r="J72" s="236"/>
      <c r="K72" s="236"/>
      <c r="L72" s="236"/>
      <c r="M72" s="236"/>
      <c r="N72" s="236"/>
      <c r="O72" s="236"/>
      <c r="P72" s="236"/>
      <c r="Q72" s="236"/>
      <c r="R72" s="236"/>
      <c r="S72" s="218"/>
      <c r="T72" s="218"/>
      <c r="U72" s="218"/>
      <c r="V72" s="218"/>
      <c r="W72" s="218"/>
      <c r="X72" s="218"/>
      <c r="Y72" s="218"/>
      <c r="Z72" s="218"/>
      <c r="AA72" s="218"/>
      <c r="AB72" s="218"/>
      <c r="AC72" s="218"/>
      <c r="AD72" s="218"/>
      <c r="AE72" s="219"/>
      <c r="AF72" s="219"/>
      <c r="AG72" s="219"/>
      <c r="AH72" s="219"/>
      <c r="AI72" s="219"/>
      <c r="AJ72" s="219"/>
      <c r="AK72" s="219"/>
      <c r="AL72" s="219"/>
      <c r="AM72" s="219"/>
      <c r="AN72" s="219"/>
      <c r="AO72" s="219"/>
      <c r="AP72" s="219"/>
      <c r="AQ72" s="219"/>
      <c r="AR72" s="219"/>
    </row>
    <row r="73" spans="1:44" ht="29" x14ac:dyDescent="0.35">
      <c r="A73" s="202">
        <v>1.1100000000000001</v>
      </c>
      <c r="B73" s="203" t="s">
        <v>186</v>
      </c>
      <c r="C73" s="204" t="s">
        <v>173</v>
      </c>
      <c r="D73" s="203" t="s">
        <v>187</v>
      </c>
      <c r="E73" s="205" t="s">
        <v>626</v>
      </c>
      <c r="F73" s="206" t="s">
        <v>66</v>
      </c>
      <c r="G73" s="232"/>
      <c r="H73" s="205" t="s">
        <v>71</v>
      </c>
      <c r="I73" s="206"/>
      <c r="J73" s="236"/>
      <c r="K73" s="236"/>
      <c r="L73" s="236"/>
      <c r="M73" s="236"/>
      <c r="N73" s="236"/>
      <c r="O73" s="236"/>
      <c r="P73" s="236"/>
      <c r="Q73" s="236"/>
      <c r="R73" s="236"/>
      <c r="S73" s="218"/>
      <c r="T73" s="218"/>
      <c r="U73" s="218"/>
      <c r="V73" s="218"/>
      <c r="W73" s="218"/>
      <c r="X73" s="218"/>
      <c r="Y73" s="218"/>
      <c r="Z73" s="218"/>
      <c r="AA73" s="218"/>
      <c r="AB73" s="218"/>
      <c r="AC73" s="218"/>
      <c r="AD73" s="218"/>
      <c r="AE73" s="219"/>
      <c r="AF73" s="219"/>
      <c r="AG73" s="219"/>
      <c r="AH73" s="219"/>
      <c r="AI73" s="219"/>
      <c r="AJ73" s="219"/>
      <c r="AK73" s="219"/>
      <c r="AL73" s="219"/>
      <c r="AM73" s="219"/>
      <c r="AN73" s="219"/>
      <c r="AO73" s="219"/>
      <c r="AP73" s="219"/>
      <c r="AQ73" s="219"/>
      <c r="AR73" s="219"/>
    </row>
    <row r="74" spans="1:44" ht="29" x14ac:dyDescent="0.35">
      <c r="A74" s="202">
        <v>1.1200000000000001</v>
      </c>
      <c r="B74" s="203" t="s">
        <v>188</v>
      </c>
      <c r="C74" s="204" t="s">
        <v>173</v>
      </c>
      <c r="D74" s="203" t="s">
        <v>189</v>
      </c>
      <c r="E74" s="205"/>
      <c r="F74" s="206" t="s">
        <v>66</v>
      </c>
      <c r="G74" s="232"/>
      <c r="H74" s="205" t="s">
        <v>628</v>
      </c>
      <c r="I74" s="206"/>
      <c r="J74" s="236"/>
      <c r="K74" s="236"/>
      <c r="L74" s="236"/>
      <c r="M74" s="236"/>
      <c r="N74" s="236"/>
      <c r="O74" s="236"/>
      <c r="P74" s="236"/>
      <c r="Q74" s="236"/>
      <c r="R74" s="236"/>
      <c r="S74" s="218"/>
      <c r="T74" s="218"/>
      <c r="U74" s="218"/>
      <c r="V74" s="218"/>
      <c r="W74" s="218"/>
      <c r="X74" s="218"/>
      <c r="Y74" s="218"/>
      <c r="Z74" s="218"/>
      <c r="AA74" s="218"/>
      <c r="AB74" s="218"/>
      <c r="AC74" s="218"/>
      <c r="AD74" s="218"/>
      <c r="AE74" s="219"/>
      <c r="AF74" s="219"/>
      <c r="AG74" s="219"/>
      <c r="AH74" s="219"/>
      <c r="AI74" s="219"/>
      <c r="AJ74" s="219"/>
      <c r="AK74" s="219"/>
      <c r="AL74" s="219"/>
      <c r="AM74" s="219"/>
      <c r="AN74" s="219"/>
      <c r="AO74" s="219"/>
      <c r="AP74" s="219"/>
      <c r="AQ74" s="219"/>
      <c r="AR74" s="219"/>
    </row>
    <row r="75" spans="1:44" ht="29" x14ac:dyDescent="0.35">
      <c r="A75" s="202">
        <v>1.1399999999999999</v>
      </c>
      <c r="B75" s="203" t="s">
        <v>190</v>
      </c>
      <c r="C75" s="204" t="s">
        <v>173</v>
      </c>
      <c r="D75" s="203" t="s">
        <v>191</v>
      </c>
      <c r="E75" s="205"/>
      <c r="F75" s="206" t="s">
        <v>66</v>
      </c>
      <c r="G75" s="232"/>
      <c r="H75" s="205" t="s">
        <v>627</v>
      </c>
      <c r="I75" s="206"/>
      <c r="J75" s="236"/>
      <c r="K75" s="236"/>
      <c r="L75" s="236"/>
      <c r="M75" s="236"/>
      <c r="N75" s="236"/>
      <c r="O75" s="236"/>
      <c r="P75" s="236"/>
      <c r="Q75" s="236"/>
      <c r="R75" s="236"/>
      <c r="S75" s="218"/>
      <c r="T75" s="218"/>
      <c r="U75" s="218"/>
      <c r="V75" s="218"/>
      <c r="W75" s="218"/>
      <c r="X75" s="218"/>
      <c r="Y75" s="218"/>
      <c r="Z75" s="218"/>
      <c r="AA75" s="218"/>
      <c r="AB75" s="218"/>
      <c r="AC75" s="218"/>
      <c r="AD75" s="218"/>
      <c r="AE75" s="219"/>
      <c r="AF75" s="219"/>
      <c r="AG75" s="219"/>
      <c r="AH75" s="219"/>
      <c r="AI75" s="219"/>
      <c r="AJ75" s="219"/>
      <c r="AK75" s="219"/>
      <c r="AL75" s="219"/>
      <c r="AM75" s="219"/>
      <c r="AN75" s="219"/>
      <c r="AO75" s="219"/>
      <c r="AP75" s="219"/>
      <c r="AQ75" s="219"/>
      <c r="AR75" s="219"/>
    </row>
    <row r="76" spans="1:44" ht="29" x14ac:dyDescent="0.35">
      <c r="A76" s="202">
        <v>1.1499999999999999</v>
      </c>
      <c r="B76" s="203" t="s">
        <v>192</v>
      </c>
      <c r="C76" s="204" t="s">
        <v>173</v>
      </c>
      <c r="D76" s="203" t="s">
        <v>191</v>
      </c>
      <c r="E76" s="205"/>
      <c r="F76" s="206" t="s">
        <v>66</v>
      </c>
      <c r="G76" s="232"/>
      <c r="H76" s="205" t="s">
        <v>627</v>
      </c>
      <c r="I76" s="206"/>
      <c r="J76" s="236"/>
      <c r="K76" s="236"/>
      <c r="L76" s="236"/>
      <c r="M76" s="236"/>
      <c r="N76" s="236"/>
      <c r="O76" s="236"/>
      <c r="P76" s="236"/>
      <c r="Q76" s="236"/>
      <c r="R76" s="236"/>
      <c r="S76" s="218"/>
      <c r="T76" s="218"/>
      <c r="U76" s="218"/>
      <c r="V76" s="218"/>
      <c r="W76" s="218"/>
      <c r="X76" s="218"/>
      <c r="Y76" s="218"/>
      <c r="Z76" s="218"/>
      <c r="AA76" s="218"/>
      <c r="AB76" s="218"/>
      <c r="AC76" s="218"/>
      <c r="AD76" s="218"/>
      <c r="AE76" s="219"/>
      <c r="AF76" s="219"/>
      <c r="AG76" s="219"/>
      <c r="AH76" s="219"/>
      <c r="AI76" s="219"/>
      <c r="AJ76" s="219"/>
      <c r="AK76" s="219"/>
      <c r="AL76" s="219"/>
      <c r="AM76" s="219"/>
      <c r="AN76" s="219"/>
      <c r="AO76" s="219"/>
      <c r="AP76" s="219"/>
      <c r="AQ76" s="219"/>
      <c r="AR76" s="219"/>
    </row>
    <row r="77" spans="1:44" ht="43.5" x14ac:dyDescent="0.35">
      <c r="A77" s="202">
        <v>2.1</v>
      </c>
      <c r="B77" s="203" t="s">
        <v>193</v>
      </c>
      <c r="C77" s="204" t="s">
        <v>173</v>
      </c>
      <c r="D77" s="203" t="s">
        <v>68</v>
      </c>
      <c r="E77" s="205"/>
      <c r="F77" s="206" t="s">
        <v>33</v>
      </c>
      <c r="G77" s="232"/>
      <c r="H77" s="205"/>
      <c r="I77" s="206"/>
      <c r="J77" s="236"/>
      <c r="K77" s="236"/>
      <c r="L77" s="236"/>
      <c r="M77" s="236"/>
      <c r="N77" s="236"/>
      <c r="O77" s="236"/>
      <c r="P77" s="236"/>
      <c r="Q77" s="236"/>
      <c r="R77" s="236"/>
      <c r="S77" s="218"/>
      <c r="T77" s="218"/>
      <c r="U77" s="218"/>
      <c r="V77" s="218"/>
      <c r="W77" s="218"/>
      <c r="X77" s="218"/>
      <c r="Y77" s="218"/>
      <c r="Z77" s="218"/>
      <c r="AA77" s="218"/>
      <c r="AB77" s="218"/>
      <c r="AC77" s="218"/>
      <c r="AD77" s="218"/>
      <c r="AE77" s="219"/>
      <c r="AF77" s="219"/>
      <c r="AG77" s="219"/>
      <c r="AH77" s="219"/>
      <c r="AI77" s="219"/>
      <c r="AJ77" s="219"/>
      <c r="AK77" s="219"/>
      <c r="AL77" s="219"/>
      <c r="AM77" s="219"/>
      <c r="AN77" s="219"/>
      <c r="AO77" s="219"/>
      <c r="AP77" s="219"/>
      <c r="AQ77" s="219"/>
      <c r="AR77" s="219"/>
    </row>
    <row r="78" spans="1:44" ht="29" x14ac:dyDescent="0.35">
      <c r="A78" s="202">
        <v>2.5</v>
      </c>
      <c r="B78" s="203" t="s">
        <v>194</v>
      </c>
      <c r="C78" s="204" t="s">
        <v>173</v>
      </c>
      <c r="D78" s="203" t="s">
        <v>71</v>
      </c>
      <c r="E78" s="205" t="s">
        <v>195</v>
      </c>
      <c r="F78" s="206" t="s">
        <v>33</v>
      </c>
      <c r="G78" s="232"/>
      <c r="H78" s="205"/>
      <c r="I78" s="206"/>
      <c r="J78" s="236"/>
      <c r="K78" s="236"/>
      <c r="L78" s="236"/>
      <c r="M78" s="236"/>
      <c r="N78" s="236"/>
      <c r="O78" s="236"/>
      <c r="P78" s="236"/>
      <c r="Q78" s="236"/>
      <c r="R78" s="236"/>
      <c r="S78" s="218"/>
      <c r="T78" s="218"/>
      <c r="U78" s="218"/>
      <c r="V78" s="218"/>
      <c r="W78" s="218"/>
      <c r="X78" s="218"/>
      <c r="Y78" s="218"/>
      <c r="Z78" s="218"/>
      <c r="AA78" s="218"/>
      <c r="AB78" s="218"/>
      <c r="AC78" s="218"/>
      <c r="AD78" s="218"/>
      <c r="AE78" s="219"/>
      <c r="AF78" s="219"/>
      <c r="AG78" s="219"/>
      <c r="AH78" s="219"/>
      <c r="AI78" s="219"/>
      <c r="AJ78" s="219"/>
      <c r="AK78" s="219"/>
      <c r="AL78" s="219"/>
      <c r="AM78" s="219"/>
      <c r="AN78" s="219"/>
      <c r="AO78" s="219"/>
      <c r="AP78" s="219"/>
      <c r="AQ78" s="219"/>
      <c r="AR78" s="219"/>
    </row>
    <row r="79" spans="1:44" ht="29" x14ac:dyDescent="0.35">
      <c r="A79" s="202">
        <v>2.6</v>
      </c>
      <c r="B79" s="203" t="s">
        <v>196</v>
      </c>
      <c r="C79" s="204" t="s">
        <v>173</v>
      </c>
      <c r="D79" s="203" t="s">
        <v>71</v>
      </c>
      <c r="E79" s="205" t="s">
        <v>195</v>
      </c>
      <c r="F79" s="206" t="s">
        <v>33</v>
      </c>
      <c r="G79" s="232"/>
      <c r="H79" s="205"/>
      <c r="I79" s="206"/>
      <c r="J79" s="236"/>
      <c r="K79" s="236"/>
      <c r="L79" s="236"/>
      <c r="M79" s="236"/>
      <c r="N79" s="236"/>
      <c r="O79" s="236"/>
      <c r="P79" s="236"/>
      <c r="Q79" s="236"/>
      <c r="R79" s="236"/>
      <c r="S79" s="218"/>
      <c r="T79" s="218"/>
      <c r="U79" s="218"/>
      <c r="V79" s="218"/>
      <c r="W79" s="218"/>
      <c r="X79" s="218"/>
      <c r="Y79" s="218"/>
      <c r="Z79" s="218"/>
      <c r="AA79" s="218"/>
      <c r="AB79" s="218"/>
      <c r="AC79" s="218"/>
      <c r="AD79" s="218"/>
      <c r="AE79" s="219"/>
      <c r="AF79" s="219"/>
      <c r="AG79" s="219"/>
      <c r="AH79" s="219"/>
      <c r="AI79" s="219"/>
      <c r="AJ79" s="219"/>
      <c r="AK79" s="219"/>
      <c r="AL79" s="219"/>
      <c r="AM79" s="219"/>
      <c r="AN79" s="219"/>
      <c r="AO79" s="219"/>
      <c r="AP79" s="219"/>
      <c r="AQ79" s="219"/>
      <c r="AR79" s="219"/>
    </row>
    <row r="80" spans="1:44" ht="15.5" x14ac:dyDescent="0.35">
      <c r="A80" s="202">
        <v>2.9</v>
      </c>
      <c r="B80" s="203" t="s">
        <v>197</v>
      </c>
      <c r="C80" s="204" t="s">
        <v>173</v>
      </c>
      <c r="D80" s="203" t="s">
        <v>68</v>
      </c>
      <c r="E80" s="205"/>
      <c r="F80" s="206" t="s">
        <v>33</v>
      </c>
      <c r="G80" s="232"/>
      <c r="H80" s="205"/>
      <c r="I80" s="206"/>
      <c r="J80" s="236"/>
      <c r="K80" s="236"/>
      <c r="L80" s="236"/>
      <c r="M80" s="236"/>
      <c r="N80" s="236"/>
      <c r="O80" s="236"/>
      <c r="P80" s="236"/>
      <c r="Q80" s="236"/>
      <c r="R80" s="236"/>
      <c r="S80" s="218"/>
      <c r="T80" s="218"/>
      <c r="U80" s="218"/>
      <c r="V80" s="218"/>
      <c r="W80" s="218"/>
      <c r="X80" s="218"/>
      <c r="Y80" s="218"/>
      <c r="Z80" s="218"/>
      <c r="AA80" s="218"/>
      <c r="AB80" s="218"/>
      <c r="AC80" s="218"/>
      <c r="AD80" s="218"/>
      <c r="AE80" s="219"/>
      <c r="AF80" s="219"/>
      <c r="AG80" s="219"/>
      <c r="AH80" s="219"/>
      <c r="AI80" s="219"/>
      <c r="AJ80" s="219"/>
      <c r="AK80" s="219"/>
      <c r="AL80" s="219"/>
      <c r="AM80" s="219"/>
      <c r="AN80" s="219"/>
      <c r="AO80" s="219"/>
      <c r="AP80" s="219"/>
      <c r="AQ80" s="219"/>
      <c r="AR80" s="219"/>
    </row>
    <row r="81" spans="1:44" ht="58" x14ac:dyDescent="0.35">
      <c r="A81" s="202">
        <v>3.1</v>
      </c>
      <c r="B81" s="203" t="s">
        <v>198</v>
      </c>
      <c r="C81" s="204" t="s">
        <v>173</v>
      </c>
      <c r="D81" s="203" t="s">
        <v>199</v>
      </c>
      <c r="E81" s="205" t="s">
        <v>72</v>
      </c>
      <c r="F81" s="206" t="s">
        <v>42</v>
      </c>
      <c r="G81" s="232"/>
      <c r="H81" s="205" t="s">
        <v>636</v>
      </c>
      <c r="I81" s="206" t="s">
        <v>73</v>
      </c>
      <c r="J81" s="236"/>
      <c r="K81" s="236"/>
      <c r="L81" s="236"/>
      <c r="M81" s="236"/>
      <c r="N81" s="236"/>
      <c r="O81" s="236"/>
      <c r="P81" s="236"/>
      <c r="Q81" s="236"/>
      <c r="R81" s="236"/>
      <c r="S81" s="218"/>
      <c r="T81" s="218"/>
      <c r="U81" s="218"/>
      <c r="V81" s="218"/>
      <c r="W81" s="218"/>
      <c r="X81" s="218"/>
      <c r="Y81" s="218"/>
      <c r="Z81" s="218"/>
      <c r="AA81" s="218"/>
      <c r="AB81" s="218"/>
      <c r="AC81" s="218"/>
      <c r="AD81" s="218"/>
      <c r="AE81" s="219"/>
      <c r="AF81" s="219"/>
      <c r="AG81" s="219"/>
      <c r="AH81" s="219"/>
      <c r="AI81" s="219"/>
      <c r="AJ81" s="219"/>
      <c r="AK81" s="219"/>
      <c r="AL81" s="219"/>
      <c r="AM81" s="219"/>
      <c r="AN81" s="219"/>
      <c r="AO81" s="219"/>
      <c r="AP81" s="219"/>
      <c r="AQ81" s="219"/>
      <c r="AR81" s="219"/>
    </row>
    <row r="82" spans="1:44" ht="58" x14ac:dyDescent="0.35">
      <c r="A82" s="202">
        <v>3.2</v>
      </c>
      <c r="B82" s="203" t="s">
        <v>98</v>
      </c>
      <c r="C82" s="204" t="s">
        <v>173</v>
      </c>
      <c r="D82" s="203" t="s">
        <v>200</v>
      </c>
      <c r="E82" s="205"/>
      <c r="F82" s="206" t="s">
        <v>42</v>
      </c>
      <c r="G82" s="232"/>
      <c r="H82" s="205" t="s">
        <v>637</v>
      </c>
      <c r="I82" s="206"/>
      <c r="J82" s="236"/>
      <c r="K82" s="236"/>
      <c r="L82" s="236"/>
      <c r="M82" s="236"/>
      <c r="N82" s="236"/>
      <c r="O82" s="236"/>
      <c r="P82" s="236"/>
      <c r="Q82" s="236"/>
      <c r="R82" s="236"/>
      <c r="S82" s="218"/>
      <c r="T82" s="218"/>
      <c r="U82" s="218"/>
      <c r="V82" s="218"/>
      <c r="W82" s="218"/>
      <c r="X82" s="218"/>
      <c r="Y82" s="218"/>
      <c r="Z82" s="218"/>
      <c r="AA82" s="218"/>
      <c r="AB82" s="218"/>
      <c r="AC82" s="218"/>
      <c r="AD82" s="218"/>
      <c r="AE82" s="219"/>
      <c r="AF82" s="219"/>
      <c r="AG82" s="219"/>
      <c r="AH82" s="219"/>
      <c r="AI82" s="219"/>
      <c r="AJ82" s="219"/>
      <c r="AK82" s="219"/>
      <c r="AL82" s="219"/>
      <c r="AM82" s="219"/>
      <c r="AN82" s="219"/>
      <c r="AO82" s="219"/>
      <c r="AP82" s="219"/>
      <c r="AQ82" s="219"/>
      <c r="AR82" s="219"/>
    </row>
    <row r="83" spans="1:44" ht="43.5" x14ac:dyDescent="0.35">
      <c r="A83" s="202">
        <v>3.6</v>
      </c>
      <c r="B83" s="203" t="s">
        <v>201</v>
      </c>
      <c r="C83" s="204" t="s">
        <v>173</v>
      </c>
      <c r="D83" s="203" t="s">
        <v>71</v>
      </c>
      <c r="E83" s="205" t="s">
        <v>202</v>
      </c>
      <c r="F83" s="206" t="s">
        <v>15</v>
      </c>
      <c r="G83" s="232"/>
      <c r="H83" s="205" t="s">
        <v>639</v>
      </c>
      <c r="I83" s="206"/>
      <c r="J83" s="236"/>
      <c r="K83" s="236"/>
      <c r="L83" s="236"/>
      <c r="M83" s="236"/>
      <c r="N83" s="236"/>
      <c r="O83" s="236"/>
      <c r="P83" s="236"/>
      <c r="Q83" s="236"/>
      <c r="R83" s="236"/>
      <c r="S83" s="218"/>
      <c r="T83" s="218"/>
      <c r="U83" s="218"/>
      <c r="V83" s="218"/>
      <c r="W83" s="218"/>
      <c r="X83" s="218"/>
      <c r="Y83" s="218"/>
      <c r="Z83" s="218"/>
      <c r="AA83" s="218"/>
      <c r="AB83" s="218"/>
      <c r="AC83" s="218"/>
      <c r="AD83" s="218"/>
      <c r="AE83" s="219"/>
      <c r="AF83" s="219"/>
      <c r="AG83" s="219"/>
      <c r="AH83" s="219"/>
      <c r="AI83" s="219"/>
      <c r="AJ83" s="219"/>
      <c r="AK83" s="219"/>
      <c r="AL83" s="219"/>
      <c r="AM83" s="219"/>
      <c r="AN83" s="219"/>
      <c r="AO83" s="219"/>
      <c r="AP83" s="219"/>
      <c r="AQ83" s="219"/>
      <c r="AR83" s="219"/>
    </row>
    <row r="84" spans="1:44" ht="58" x14ac:dyDescent="0.35">
      <c r="A84" s="202">
        <v>5.0999999999999996</v>
      </c>
      <c r="B84" s="203" t="s">
        <v>203</v>
      </c>
      <c r="C84" s="204" t="s">
        <v>173</v>
      </c>
      <c r="D84" s="203" t="s">
        <v>71</v>
      </c>
      <c r="E84" s="205" t="s">
        <v>204</v>
      </c>
      <c r="F84" s="206" t="s">
        <v>33</v>
      </c>
      <c r="G84" s="232"/>
      <c r="H84" s="205"/>
      <c r="I84" s="206"/>
      <c r="J84" s="236"/>
      <c r="K84" s="236"/>
      <c r="L84" s="236"/>
      <c r="M84" s="236"/>
      <c r="N84" s="236"/>
      <c r="O84" s="236"/>
      <c r="P84" s="236"/>
      <c r="Q84" s="236"/>
      <c r="R84" s="236"/>
      <c r="S84" s="218"/>
      <c r="T84" s="218"/>
      <c r="U84" s="218"/>
      <c r="V84" s="218"/>
      <c r="W84" s="218"/>
      <c r="X84" s="218"/>
      <c r="Y84" s="218"/>
      <c r="Z84" s="218"/>
      <c r="AA84" s="218"/>
      <c r="AB84" s="218"/>
      <c r="AC84" s="218"/>
      <c r="AD84" s="218"/>
      <c r="AE84" s="219"/>
      <c r="AF84" s="219"/>
      <c r="AG84" s="219"/>
      <c r="AH84" s="219"/>
      <c r="AI84" s="219"/>
      <c r="AJ84" s="219"/>
      <c r="AK84" s="219"/>
      <c r="AL84" s="219"/>
      <c r="AM84" s="219"/>
      <c r="AN84" s="219"/>
      <c r="AO84" s="219"/>
      <c r="AP84" s="219"/>
      <c r="AQ84" s="219"/>
      <c r="AR84" s="219"/>
    </row>
    <row r="85" spans="1:44" ht="29" x14ac:dyDescent="0.35">
      <c r="A85" s="202">
        <v>5.2</v>
      </c>
      <c r="B85" s="203" t="s">
        <v>205</v>
      </c>
      <c r="C85" s="204" t="s">
        <v>173</v>
      </c>
      <c r="D85" s="203" t="s">
        <v>71</v>
      </c>
      <c r="E85" s="205" t="s">
        <v>204</v>
      </c>
      <c r="F85" s="206" t="s">
        <v>42</v>
      </c>
      <c r="G85" s="232"/>
      <c r="H85" s="205"/>
      <c r="I85" s="206"/>
      <c r="J85" s="236"/>
      <c r="K85" s="236"/>
      <c r="L85" s="236"/>
      <c r="M85" s="236"/>
      <c r="N85" s="236"/>
      <c r="O85" s="236"/>
      <c r="P85" s="236"/>
      <c r="Q85" s="236"/>
      <c r="R85" s="236"/>
      <c r="S85" s="218"/>
      <c r="T85" s="218"/>
      <c r="U85" s="218"/>
      <c r="V85" s="218"/>
      <c r="W85" s="218"/>
      <c r="X85" s="218"/>
      <c r="Y85" s="218"/>
      <c r="Z85" s="218"/>
      <c r="AA85" s="218"/>
      <c r="AB85" s="218"/>
      <c r="AC85" s="218"/>
      <c r="AD85" s="218"/>
      <c r="AE85" s="219"/>
      <c r="AF85" s="219"/>
      <c r="AG85" s="219"/>
      <c r="AH85" s="219"/>
      <c r="AI85" s="219"/>
      <c r="AJ85" s="219"/>
      <c r="AK85" s="219"/>
      <c r="AL85" s="219"/>
      <c r="AM85" s="219"/>
      <c r="AN85" s="219"/>
      <c r="AO85" s="219"/>
      <c r="AP85" s="219"/>
      <c r="AQ85" s="219"/>
      <c r="AR85" s="219"/>
    </row>
    <row r="86" spans="1:44" ht="58" x14ac:dyDescent="0.35">
      <c r="A86" s="202">
        <v>5.4</v>
      </c>
      <c r="B86" s="203" t="s">
        <v>206</v>
      </c>
      <c r="C86" s="204" t="s">
        <v>173</v>
      </c>
      <c r="D86" s="203" t="s">
        <v>71</v>
      </c>
      <c r="E86" s="205" t="s">
        <v>207</v>
      </c>
      <c r="F86" s="206" t="s">
        <v>42</v>
      </c>
      <c r="G86" s="232"/>
      <c r="H86" s="205"/>
      <c r="I86" s="206" t="s">
        <v>208</v>
      </c>
      <c r="J86" s="236"/>
      <c r="K86" s="236"/>
      <c r="L86" s="236"/>
      <c r="M86" s="236"/>
      <c r="N86" s="236"/>
      <c r="O86" s="236"/>
      <c r="P86" s="236"/>
      <c r="Q86" s="236"/>
      <c r="R86" s="236"/>
      <c r="S86" s="218"/>
      <c r="T86" s="218"/>
      <c r="U86" s="218"/>
      <c r="V86" s="218"/>
      <c r="W86" s="218"/>
      <c r="X86" s="218"/>
      <c r="Y86" s="218"/>
      <c r="Z86" s="218"/>
      <c r="AA86" s="218"/>
      <c r="AB86" s="218"/>
      <c r="AC86" s="218"/>
      <c r="AD86" s="218"/>
      <c r="AE86" s="219"/>
      <c r="AF86" s="219"/>
      <c r="AG86" s="219"/>
      <c r="AH86" s="219"/>
      <c r="AI86" s="219"/>
      <c r="AJ86" s="219"/>
      <c r="AK86" s="219"/>
      <c r="AL86" s="219"/>
      <c r="AM86" s="219"/>
      <c r="AN86" s="219"/>
      <c r="AO86" s="219"/>
      <c r="AP86" s="219"/>
      <c r="AQ86" s="219"/>
      <c r="AR86" s="219"/>
    </row>
    <row r="87" spans="1:44" ht="43.5" x14ac:dyDescent="0.35">
      <c r="A87" s="202">
        <v>5.5</v>
      </c>
      <c r="B87" s="203" t="s">
        <v>209</v>
      </c>
      <c r="C87" s="204" t="s">
        <v>173</v>
      </c>
      <c r="D87" s="203" t="s">
        <v>210</v>
      </c>
      <c r="E87" s="205" t="s">
        <v>207</v>
      </c>
      <c r="F87" s="206" t="s">
        <v>42</v>
      </c>
      <c r="G87" s="232"/>
      <c r="H87" s="205"/>
      <c r="I87" s="206" t="s">
        <v>208</v>
      </c>
      <c r="J87" s="236"/>
      <c r="K87" s="236"/>
      <c r="L87" s="236"/>
      <c r="M87" s="236"/>
      <c r="N87" s="236"/>
      <c r="O87" s="236"/>
      <c r="P87" s="236"/>
      <c r="Q87" s="236"/>
      <c r="R87" s="236"/>
      <c r="S87" s="218"/>
      <c r="T87" s="218"/>
      <c r="U87" s="218"/>
      <c r="V87" s="218"/>
      <c r="W87" s="218"/>
      <c r="X87" s="218"/>
      <c r="Y87" s="218"/>
      <c r="Z87" s="218"/>
      <c r="AA87" s="218"/>
      <c r="AB87" s="218"/>
      <c r="AC87" s="218"/>
      <c r="AD87" s="218"/>
      <c r="AE87" s="219"/>
      <c r="AF87" s="219"/>
      <c r="AG87" s="219"/>
      <c r="AH87" s="219"/>
      <c r="AI87" s="219"/>
      <c r="AJ87" s="219"/>
      <c r="AK87" s="219"/>
      <c r="AL87" s="219"/>
      <c r="AM87" s="219"/>
      <c r="AN87" s="219"/>
      <c r="AO87" s="219"/>
      <c r="AP87" s="219"/>
      <c r="AQ87" s="219"/>
      <c r="AR87" s="219"/>
    </row>
    <row r="88" spans="1:44" ht="43.5" x14ac:dyDescent="0.35">
      <c r="A88" s="202">
        <v>5.6</v>
      </c>
      <c r="B88" s="203" t="s">
        <v>211</v>
      </c>
      <c r="C88" s="204" t="s">
        <v>173</v>
      </c>
      <c r="D88" s="203" t="s">
        <v>71</v>
      </c>
      <c r="E88" s="205" t="s">
        <v>207</v>
      </c>
      <c r="F88" s="206" t="s">
        <v>42</v>
      </c>
      <c r="G88" s="232"/>
      <c r="H88" s="205"/>
      <c r="I88" s="206" t="s">
        <v>208</v>
      </c>
      <c r="J88" s="236"/>
      <c r="K88" s="236"/>
      <c r="L88" s="236"/>
      <c r="M88" s="236"/>
      <c r="N88" s="236"/>
      <c r="O88" s="236"/>
      <c r="P88" s="236"/>
      <c r="Q88" s="236"/>
      <c r="R88" s="236"/>
      <c r="S88" s="218"/>
      <c r="T88" s="218"/>
      <c r="U88" s="218"/>
      <c r="V88" s="218"/>
      <c r="W88" s="218"/>
      <c r="X88" s="218"/>
      <c r="Y88" s="218"/>
      <c r="Z88" s="218"/>
      <c r="AA88" s="218"/>
      <c r="AB88" s="218"/>
      <c r="AC88" s="218"/>
      <c r="AD88" s="218"/>
      <c r="AE88" s="219"/>
      <c r="AF88" s="219"/>
      <c r="AG88" s="219"/>
      <c r="AH88" s="219"/>
      <c r="AI88" s="219"/>
      <c r="AJ88" s="219"/>
      <c r="AK88" s="219"/>
      <c r="AL88" s="219"/>
      <c r="AM88" s="219"/>
      <c r="AN88" s="219"/>
      <c r="AO88" s="219"/>
      <c r="AP88" s="219"/>
      <c r="AQ88" s="219"/>
      <c r="AR88" s="219"/>
    </row>
    <row r="89" spans="1:44" ht="15.5" x14ac:dyDescent="0.35">
      <c r="A89" s="202">
        <v>5.7</v>
      </c>
      <c r="B89" s="203" t="s">
        <v>212</v>
      </c>
      <c r="C89" s="204" t="s">
        <v>173</v>
      </c>
      <c r="D89" s="203" t="s">
        <v>71</v>
      </c>
      <c r="E89" s="205" t="s">
        <v>207</v>
      </c>
      <c r="F89" s="206" t="s">
        <v>42</v>
      </c>
      <c r="G89" s="232"/>
      <c r="H89" s="205"/>
      <c r="I89" s="206" t="s">
        <v>208</v>
      </c>
      <c r="J89" s="236"/>
      <c r="K89" s="236"/>
      <c r="L89" s="236"/>
      <c r="M89" s="236"/>
      <c r="N89" s="236"/>
      <c r="O89" s="236"/>
      <c r="P89" s="236"/>
      <c r="Q89" s="236"/>
      <c r="R89" s="236"/>
      <c r="S89" s="218"/>
      <c r="T89" s="218"/>
      <c r="U89" s="218"/>
      <c r="V89" s="218"/>
      <c r="W89" s="218"/>
      <c r="X89" s="218"/>
      <c r="Y89" s="218"/>
      <c r="Z89" s="218"/>
      <c r="AA89" s="218"/>
      <c r="AB89" s="218"/>
      <c r="AC89" s="218"/>
      <c r="AD89" s="218"/>
      <c r="AE89" s="219"/>
      <c r="AF89" s="219"/>
      <c r="AG89" s="219"/>
      <c r="AH89" s="219"/>
      <c r="AI89" s="219"/>
      <c r="AJ89" s="219"/>
      <c r="AK89" s="219"/>
      <c r="AL89" s="219"/>
      <c r="AM89" s="219"/>
      <c r="AN89" s="219"/>
      <c r="AO89" s="219"/>
      <c r="AP89" s="219"/>
      <c r="AQ89" s="219"/>
      <c r="AR89" s="219"/>
    </row>
    <row r="90" spans="1:44" ht="29" x14ac:dyDescent="0.35">
      <c r="A90" s="202">
        <v>5.12</v>
      </c>
      <c r="B90" s="203" t="s">
        <v>213</v>
      </c>
      <c r="C90" s="204" t="s">
        <v>173</v>
      </c>
      <c r="D90" s="203" t="s">
        <v>214</v>
      </c>
      <c r="E90" s="205" t="s">
        <v>207</v>
      </c>
      <c r="F90" s="206" t="s">
        <v>42</v>
      </c>
      <c r="G90" s="232"/>
      <c r="H90" s="205"/>
      <c r="I90" s="206" t="s">
        <v>208</v>
      </c>
      <c r="J90" s="236"/>
      <c r="K90" s="236"/>
      <c r="L90" s="236"/>
      <c r="M90" s="236"/>
      <c r="N90" s="236"/>
      <c r="O90" s="236"/>
      <c r="P90" s="236"/>
      <c r="Q90" s="236"/>
      <c r="R90" s="236"/>
      <c r="S90" s="218"/>
      <c r="T90" s="218"/>
      <c r="U90" s="218"/>
      <c r="V90" s="218"/>
      <c r="W90" s="218"/>
      <c r="X90" s="218"/>
      <c r="Y90" s="218"/>
      <c r="Z90" s="218"/>
      <c r="AA90" s="218"/>
      <c r="AB90" s="218"/>
      <c r="AC90" s="218"/>
      <c r="AD90" s="218"/>
      <c r="AE90" s="219"/>
      <c r="AF90" s="219"/>
      <c r="AG90" s="219"/>
      <c r="AH90" s="219"/>
      <c r="AI90" s="219"/>
      <c r="AJ90" s="219"/>
      <c r="AK90" s="219"/>
      <c r="AL90" s="219"/>
      <c r="AM90" s="219"/>
      <c r="AN90" s="219"/>
      <c r="AO90" s="219"/>
      <c r="AP90" s="219"/>
      <c r="AQ90" s="219"/>
      <c r="AR90" s="219"/>
    </row>
    <row r="91" spans="1:44" ht="29" x14ac:dyDescent="0.35">
      <c r="A91" s="202">
        <v>5.13</v>
      </c>
      <c r="B91" s="203" t="s">
        <v>215</v>
      </c>
      <c r="C91" s="204" t="s">
        <v>173</v>
      </c>
      <c r="D91" s="203" t="s">
        <v>216</v>
      </c>
      <c r="E91" s="205" t="s">
        <v>217</v>
      </c>
      <c r="F91" s="206" t="s">
        <v>42</v>
      </c>
      <c r="G91" s="232"/>
      <c r="H91" s="205"/>
      <c r="I91" s="206" t="s">
        <v>218</v>
      </c>
      <c r="J91" s="236"/>
      <c r="K91" s="236"/>
      <c r="L91" s="236"/>
      <c r="M91" s="236"/>
      <c r="N91" s="236"/>
      <c r="O91" s="236"/>
      <c r="P91" s="236"/>
      <c r="Q91" s="236"/>
      <c r="R91" s="236"/>
      <c r="S91" s="218"/>
      <c r="T91" s="218"/>
      <c r="U91" s="218"/>
      <c r="V91" s="218"/>
      <c r="W91" s="218"/>
      <c r="X91" s="218"/>
      <c r="Y91" s="218"/>
      <c r="Z91" s="218"/>
      <c r="AA91" s="218"/>
      <c r="AB91" s="218"/>
      <c r="AC91" s="218"/>
      <c r="AD91" s="218"/>
      <c r="AE91" s="219"/>
      <c r="AF91" s="219"/>
      <c r="AG91" s="219"/>
      <c r="AH91" s="219"/>
      <c r="AI91" s="219"/>
      <c r="AJ91" s="219"/>
      <c r="AK91" s="219"/>
      <c r="AL91" s="219"/>
      <c r="AM91" s="219"/>
      <c r="AN91" s="219"/>
      <c r="AO91" s="219"/>
      <c r="AP91" s="219"/>
      <c r="AQ91" s="219"/>
      <c r="AR91" s="219"/>
    </row>
    <row r="92" spans="1:44" ht="43.5" x14ac:dyDescent="0.35">
      <c r="A92" s="202">
        <v>6.7</v>
      </c>
      <c r="B92" s="203" t="s">
        <v>219</v>
      </c>
      <c r="C92" s="204" t="s">
        <v>173</v>
      </c>
      <c r="D92" s="203" t="s">
        <v>71</v>
      </c>
      <c r="E92" s="205"/>
      <c r="F92" s="206" t="s">
        <v>33</v>
      </c>
      <c r="G92" s="232"/>
      <c r="H92" s="205" t="s">
        <v>220</v>
      </c>
      <c r="I92" s="206"/>
      <c r="J92" s="236"/>
      <c r="K92" s="236"/>
      <c r="L92" s="236"/>
      <c r="M92" s="236"/>
      <c r="N92" s="236"/>
      <c r="O92" s="236"/>
      <c r="P92" s="236"/>
      <c r="Q92" s="236"/>
      <c r="R92" s="236"/>
      <c r="S92" s="218"/>
      <c r="T92" s="218"/>
      <c r="U92" s="218"/>
      <c r="V92" s="218"/>
      <c r="W92" s="218"/>
      <c r="X92" s="218"/>
      <c r="Y92" s="218"/>
      <c r="Z92" s="218"/>
      <c r="AA92" s="218"/>
      <c r="AB92" s="218"/>
      <c r="AC92" s="218"/>
      <c r="AD92" s="218"/>
      <c r="AE92" s="219"/>
      <c r="AF92" s="219"/>
      <c r="AG92" s="219"/>
      <c r="AH92" s="219"/>
      <c r="AI92" s="219"/>
      <c r="AJ92" s="219"/>
      <c r="AK92" s="219"/>
      <c r="AL92" s="219"/>
      <c r="AM92" s="219"/>
      <c r="AN92" s="219"/>
      <c r="AO92" s="219"/>
      <c r="AP92" s="219"/>
      <c r="AQ92" s="219"/>
      <c r="AR92" s="219"/>
    </row>
    <row r="93" spans="1:44" ht="43.5" x14ac:dyDescent="0.35">
      <c r="A93" s="223">
        <v>6.8</v>
      </c>
      <c r="B93" s="225" t="s">
        <v>221</v>
      </c>
      <c r="C93" s="227" t="s">
        <v>173</v>
      </c>
      <c r="D93" s="225" t="s">
        <v>71</v>
      </c>
      <c r="E93" s="229"/>
      <c r="F93" s="231" t="s">
        <v>33</v>
      </c>
      <c r="G93" s="234"/>
      <c r="H93" s="229" t="s">
        <v>220</v>
      </c>
      <c r="I93" s="231"/>
      <c r="J93" s="236"/>
      <c r="K93" s="236"/>
      <c r="L93" s="236"/>
      <c r="M93" s="236"/>
      <c r="N93" s="236"/>
      <c r="O93" s="236"/>
      <c r="P93" s="236"/>
      <c r="Q93" s="236"/>
      <c r="R93" s="236"/>
      <c r="S93" s="218"/>
      <c r="T93" s="218"/>
      <c r="U93" s="218"/>
      <c r="V93" s="218"/>
      <c r="W93" s="218"/>
      <c r="X93" s="218"/>
      <c r="Y93" s="218"/>
      <c r="Z93" s="218"/>
      <c r="AA93" s="218"/>
      <c r="AB93" s="218"/>
      <c r="AC93" s="218"/>
      <c r="AD93" s="218"/>
      <c r="AE93" s="219"/>
      <c r="AF93" s="219"/>
      <c r="AG93" s="219"/>
      <c r="AH93" s="219"/>
      <c r="AI93" s="219"/>
      <c r="AJ93" s="219"/>
      <c r="AK93" s="219"/>
      <c r="AL93" s="219"/>
      <c r="AM93" s="219"/>
      <c r="AN93" s="219"/>
      <c r="AO93" s="219"/>
      <c r="AP93" s="219"/>
      <c r="AQ93" s="219"/>
      <c r="AR93" s="219"/>
    </row>
    <row r="94" spans="1:44" x14ac:dyDescent="0.35">
      <c r="A94" s="236"/>
      <c r="B94" s="236"/>
      <c r="C94" s="236"/>
      <c r="D94" s="200"/>
      <c r="E94" s="236"/>
      <c r="F94" s="236"/>
      <c r="G94" s="236"/>
      <c r="H94" s="236"/>
      <c r="I94" s="236"/>
      <c r="J94" s="236"/>
      <c r="K94" s="236"/>
      <c r="L94" s="236"/>
      <c r="M94" s="236"/>
      <c r="N94" s="236"/>
      <c r="O94" s="236"/>
      <c r="P94" s="236"/>
      <c r="Q94" s="236"/>
      <c r="R94" s="236"/>
      <c r="S94" s="218"/>
      <c r="T94" s="218"/>
      <c r="U94" s="218"/>
      <c r="V94" s="218"/>
      <c r="W94" s="218"/>
      <c r="X94" s="218"/>
      <c r="Y94" s="218"/>
      <c r="Z94" s="218"/>
      <c r="AA94" s="218"/>
      <c r="AB94" s="218"/>
      <c r="AC94" s="218"/>
      <c r="AD94" s="218"/>
      <c r="AE94" s="219"/>
      <c r="AF94" s="219"/>
      <c r="AG94" s="219"/>
      <c r="AH94" s="219"/>
      <c r="AI94" s="219"/>
      <c r="AJ94" s="219"/>
      <c r="AK94" s="219"/>
      <c r="AL94" s="219"/>
      <c r="AM94" s="219"/>
      <c r="AN94" s="219"/>
      <c r="AO94" s="219"/>
      <c r="AP94" s="219"/>
      <c r="AQ94" s="219"/>
      <c r="AR94" s="219"/>
    </row>
    <row r="95" spans="1:44" x14ac:dyDescent="0.35">
      <c r="A95" s="236"/>
      <c r="B95" s="236"/>
      <c r="C95" s="236"/>
      <c r="D95" s="200"/>
      <c r="E95" s="236"/>
      <c r="F95" s="236"/>
      <c r="G95" s="236"/>
      <c r="H95" s="236"/>
      <c r="I95" s="236"/>
      <c r="J95" s="236"/>
      <c r="K95" s="236"/>
      <c r="L95" s="236"/>
      <c r="M95" s="236"/>
      <c r="N95" s="236"/>
      <c r="O95" s="236"/>
      <c r="P95" s="236"/>
      <c r="Q95" s="236"/>
      <c r="R95" s="236"/>
      <c r="S95" s="218"/>
      <c r="T95" s="218"/>
      <c r="U95" s="218"/>
      <c r="V95" s="218"/>
      <c r="W95" s="218"/>
      <c r="X95" s="218"/>
      <c r="Y95" s="218"/>
      <c r="Z95" s="218"/>
      <c r="AA95" s="218"/>
      <c r="AB95" s="218"/>
      <c r="AC95" s="218"/>
      <c r="AD95" s="218"/>
      <c r="AE95" s="219"/>
      <c r="AF95" s="219"/>
      <c r="AG95" s="219"/>
      <c r="AH95" s="219"/>
      <c r="AI95" s="219"/>
      <c r="AJ95" s="219"/>
      <c r="AK95" s="219"/>
      <c r="AL95" s="219"/>
      <c r="AM95" s="219"/>
      <c r="AN95" s="219"/>
      <c r="AO95" s="219"/>
      <c r="AP95" s="219"/>
      <c r="AQ95" s="219"/>
      <c r="AR95" s="219"/>
    </row>
    <row r="96" spans="1:44" x14ac:dyDescent="0.35">
      <c r="A96" s="236"/>
      <c r="B96" s="236"/>
      <c r="C96" s="236"/>
      <c r="D96" s="200"/>
      <c r="E96" s="236"/>
      <c r="F96" s="236"/>
      <c r="G96" s="236"/>
      <c r="H96" s="236"/>
      <c r="I96" s="236"/>
      <c r="J96" s="236"/>
      <c r="K96" s="236"/>
      <c r="L96" s="236"/>
      <c r="M96" s="236"/>
      <c r="N96" s="236"/>
      <c r="O96" s="236"/>
      <c r="P96" s="236"/>
      <c r="Q96" s="236"/>
      <c r="R96" s="236"/>
      <c r="S96" s="218"/>
      <c r="T96" s="218"/>
      <c r="U96" s="218"/>
      <c r="V96" s="218"/>
      <c r="W96" s="218"/>
      <c r="X96" s="218"/>
      <c r="Y96" s="218"/>
      <c r="Z96" s="218"/>
      <c r="AA96" s="218"/>
      <c r="AB96" s="218"/>
      <c r="AC96" s="218"/>
      <c r="AD96" s="218"/>
      <c r="AE96" s="219"/>
      <c r="AF96" s="219"/>
      <c r="AG96" s="219"/>
      <c r="AH96" s="219"/>
      <c r="AI96" s="219"/>
      <c r="AJ96" s="219"/>
      <c r="AK96" s="219"/>
      <c r="AL96" s="219"/>
      <c r="AM96" s="219"/>
      <c r="AN96" s="219"/>
      <c r="AO96" s="219"/>
      <c r="AP96" s="219"/>
      <c r="AQ96" s="219"/>
      <c r="AR96" s="219"/>
    </row>
    <row r="97" spans="1:44" x14ac:dyDescent="0.35">
      <c r="A97" s="236"/>
      <c r="B97" s="236"/>
      <c r="C97" s="236"/>
      <c r="D97" s="200"/>
      <c r="E97" s="236"/>
      <c r="F97" s="236"/>
      <c r="G97" s="236"/>
      <c r="H97" s="236"/>
      <c r="I97" s="236"/>
      <c r="J97" s="236"/>
      <c r="K97" s="236"/>
      <c r="L97" s="236"/>
      <c r="M97" s="236"/>
      <c r="N97" s="236"/>
      <c r="O97" s="236"/>
      <c r="P97" s="236"/>
      <c r="Q97" s="236"/>
      <c r="R97" s="236"/>
      <c r="S97" s="218"/>
      <c r="T97" s="218"/>
      <c r="U97" s="218"/>
      <c r="V97" s="218"/>
      <c r="W97" s="218"/>
      <c r="X97" s="218"/>
      <c r="Y97" s="218"/>
      <c r="Z97" s="218"/>
      <c r="AA97" s="218"/>
      <c r="AB97" s="218"/>
      <c r="AC97" s="218"/>
      <c r="AD97" s="218"/>
      <c r="AE97" s="219"/>
      <c r="AF97" s="219"/>
      <c r="AG97" s="219"/>
      <c r="AH97" s="219"/>
      <c r="AI97" s="219"/>
      <c r="AJ97" s="219"/>
      <c r="AK97" s="219"/>
      <c r="AL97" s="219"/>
      <c r="AM97" s="219"/>
      <c r="AN97" s="219"/>
      <c r="AO97" s="219"/>
      <c r="AP97" s="219"/>
      <c r="AQ97" s="219"/>
      <c r="AR97" s="219"/>
    </row>
    <row r="98" spans="1:44" x14ac:dyDescent="0.35">
      <c r="A98" s="236"/>
      <c r="B98" s="236"/>
      <c r="C98" s="236"/>
      <c r="D98" s="200"/>
      <c r="E98" s="236"/>
      <c r="F98" s="236"/>
      <c r="G98" s="236"/>
      <c r="H98" s="236"/>
      <c r="I98" s="236"/>
      <c r="J98" s="236"/>
      <c r="K98" s="236"/>
      <c r="L98" s="236"/>
      <c r="M98" s="236"/>
      <c r="N98" s="236"/>
      <c r="O98" s="236"/>
      <c r="P98" s="236"/>
      <c r="Q98" s="236"/>
      <c r="R98" s="236"/>
      <c r="S98" s="218"/>
      <c r="T98" s="218"/>
      <c r="U98" s="218"/>
      <c r="V98" s="218"/>
      <c r="W98" s="218"/>
      <c r="X98" s="218"/>
      <c r="Y98" s="218"/>
      <c r="Z98" s="218"/>
      <c r="AA98" s="218"/>
      <c r="AB98" s="218"/>
      <c r="AC98" s="218"/>
      <c r="AD98" s="218"/>
      <c r="AE98" s="219"/>
      <c r="AF98" s="219"/>
      <c r="AG98" s="219"/>
      <c r="AH98" s="219"/>
      <c r="AI98" s="219"/>
      <c r="AJ98" s="219"/>
      <c r="AK98" s="219"/>
      <c r="AL98" s="219"/>
      <c r="AM98" s="219"/>
      <c r="AN98" s="219"/>
      <c r="AO98" s="219"/>
      <c r="AP98" s="219"/>
      <c r="AQ98" s="219"/>
      <c r="AR98" s="219"/>
    </row>
    <row r="99" spans="1:44" x14ac:dyDescent="0.35">
      <c r="A99" s="236"/>
      <c r="B99" s="236"/>
      <c r="C99" s="236"/>
      <c r="D99" s="200"/>
      <c r="E99" s="236"/>
      <c r="F99" s="236"/>
      <c r="G99" s="236"/>
      <c r="H99" s="236"/>
      <c r="I99" s="236"/>
      <c r="J99" s="236"/>
      <c r="K99" s="236"/>
      <c r="L99" s="236"/>
      <c r="M99" s="236"/>
      <c r="N99" s="236"/>
      <c r="O99" s="236"/>
      <c r="P99" s="236"/>
      <c r="Q99" s="236"/>
      <c r="R99" s="236"/>
      <c r="S99" s="218"/>
      <c r="T99" s="218"/>
      <c r="U99" s="218"/>
      <c r="V99" s="218"/>
      <c r="W99" s="218"/>
      <c r="X99" s="218"/>
      <c r="Y99" s="218"/>
      <c r="Z99" s="218"/>
      <c r="AA99" s="218"/>
      <c r="AB99" s="218"/>
      <c r="AC99" s="218"/>
      <c r="AD99" s="218"/>
      <c r="AE99" s="219"/>
      <c r="AF99" s="219"/>
      <c r="AG99" s="219"/>
      <c r="AH99" s="219"/>
      <c r="AI99" s="219"/>
      <c r="AJ99" s="219"/>
      <c r="AK99" s="219"/>
      <c r="AL99" s="219"/>
      <c r="AM99" s="219"/>
      <c r="AN99" s="219"/>
      <c r="AO99" s="219"/>
      <c r="AP99" s="219"/>
      <c r="AQ99" s="219"/>
      <c r="AR99" s="219"/>
    </row>
    <row r="100" spans="1:44" x14ac:dyDescent="0.35">
      <c r="A100" s="236"/>
      <c r="B100" s="236"/>
      <c r="C100" s="236"/>
      <c r="D100" s="200"/>
      <c r="E100" s="236"/>
      <c r="F100" s="236"/>
      <c r="G100" s="236"/>
      <c r="H100" s="236"/>
      <c r="I100" s="236"/>
      <c r="J100" s="236"/>
      <c r="K100" s="236"/>
      <c r="L100" s="236"/>
      <c r="M100" s="236"/>
      <c r="N100" s="236"/>
      <c r="O100" s="236"/>
      <c r="P100" s="236"/>
      <c r="Q100" s="236"/>
      <c r="R100" s="236"/>
      <c r="S100" s="218"/>
      <c r="T100" s="218"/>
      <c r="U100" s="218"/>
      <c r="V100" s="218"/>
      <c r="W100" s="218"/>
      <c r="X100" s="218"/>
      <c r="Y100" s="218"/>
      <c r="Z100" s="218"/>
      <c r="AA100" s="218"/>
      <c r="AB100" s="218"/>
      <c r="AC100" s="218"/>
      <c r="AD100" s="218"/>
      <c r="AE100" s="219"/>
      <c r="AF100" s="219"/>
      <c r="AG100" s="219"/>
      <c r="AH100" s="219"/>
      <c r="AI100" s="219"/>
      <c r="AJ100" s="219"/>
      <c r="AK100" s="219"/>
      <c r="AL100" s="219"/>
      <c r="AM100" s="219"/>
      <c r="AN100" s="219"/>
      <c r="AO100" s="219"/>
      <c r="AP100" s="219"/>
      <c r="AQ100" s="219"/>
      <c r="AR100" s="219"/>
    </row>
    <row r="101" spans="1:44" x14ac:dyDescent="0.35">
      <c r="A101" s="236"/>
      <c r="B101" s="236"/>
      <c r="C101" s="236"/>
      <c r="D101" s="200"/>
      <c r="E101" s="236"/>
      <c r="F101" s="236"/>
      <c r="G101" s="236"/>
      <c r="H101" s="236"/>
      <c r="I101" s="236"/>
      <c r="J101" s="236"/>
      <c r="K101" s="236"/>
      <c r="L101" s="236"/>
      <c r="M101" s="236"/>
      <c r="N101" s="236"/>
      <c r="O101" s="236"/>
      <c r="P101" s="236"/>
      <c r="Q101" s="236"/>
      <c r="R101" s="236"/>
      <c r="S101" s="218"/>
      <c r="T101" s="218"/>
      <c r="U101" s="218"/>
      <c r="V101" s="218"/>
      <c r="W101" s="218"/>
      <c r="X101" s="218"/>
      <c r="Y101" s="218"/>
      <c r="Z101" s="218"/>
      <c r="AA101" s="218"/>
      <c r="AB101" s="218"/>
      <c r="AC101" s="218"/>
      <c r="AD101" s="218"/>
      <c r="AE101" s="219"/>
      <c r="AF101" s="219"/>
      <c r="AG101" s="219"/>
      <c r="AH101" s="219"/>
      <c r="AI101" s="219"/>
      <c r="AJ101" s="219"/>
      <c r="AK101" s="219"/>
      <c r="AL101" s="219"/>
      <c r="AM101" s="219"/>
      <c r="AN101" s="219"/>
      <c r="AO101" s="219"/>
      <c r="AP101" s="219"/>
      <c r="AQ101" s="219"/>
      <c r="AR101" s="219"/>
    </row>
    <row r="102" spans="1:44" x14ac:dyDescent="0.35">
      <c r="A102" s="236"/>
      <c r="B102" s="236"/>
      <c r="C102" s="236"/>
      <c r="D102" s="200"/>
      <c r="E102" s="236"/>
      <c r="F102" s="236"/>
      <c r="G102" s="236"/>
      <c r="H102" s="236"/>
      <c r="I102" s="236"/>
      <c r="J102" s="236"/>
      <c r="K102" s="236"/>
      <c r="L102" s="236"/>
      <c r="M102" s="236"/>
      <c r="N102" s="236"/>
      <c r="O102" s="236"/>
      <c r="P102" s="236"/>
      <c r="Q102" s="236"/>
      <c r="R102" s="236"/>
      <c r="S102" s="218"/>
      <c r="T102" s="218"/>
      <c r="U102" s="218"/>
      <c r="V102" s="218"/>
      <c r="W102" s="218"/>
      <c r="X102" s="218"/>
      <c r="Y102" s="218"/>
      <c r="Z102" s="218"/>
      <c r="AA102" s="218"/>
      <c r="AB102" s="218"/>
      <c r="AC102" s="218"/>
      <c r="AD102" s="218"/>
      <c r="AE102" s="219"/>
      <c r="AF102" s="219"/>
      <c r="AG102" s="219"/>
      <c r="AH102" s="219"/>
      <c r="AI102" s="219"/>
      <c r="AJ102" s="219"/>
      <c r="AK102" s="219"/>
      <c r="AL102" s="219"/>
      <c r="AM102" s="219"/>
      <c r="AN102" s="219"/>
      <c r="AO102" s="219"/>
      <c r="AP102" s="219"/>
      <c r="AQ102" s="219"/>
      <c r="AR102" s="219"/>
    </row>
    <row r="103" spans="1:44" x14ac:dyDescent="0.35">
      <c r="A103" s="236"/>
      <c r="B103" s="236"/>
      <c r="C103" s="236"/>
      <c r="D103" s="200"/>
      <c r="E103" s="236"/>
      <c r="F103" s="236"/>
      <c r="G103" s="236"/>
      <c r="H103" s="236"/>
      <c r="I103" s="236"/>
      <c r="J103" s="236"/>
      <c r="K103" s="236"/>
      <c r="L103" s="236"/>
      <c r="M103" s="236"/>
      <c r="N103" s="236"/>
      <c r="O103" s="236"/>
      <c r="P103" s="236"/>
      <c r="Q103" s="236"/>
      <c r="R103" s="236"/>
      <c r="S103" s="218"/>
      <c r="T103" s="218"/>
      <c r="U103" s="218"/>
      <c r="V103" s="218"/>
      <c r="W103" s="218"/>
      <c r="X103" s="218"/>
      <c r="Y103" s="218"/>
      <c r="Z103" s="218"/>
      <c r="AA103" s="218"/>
      <c r="AB103" s="218"/>
      <c r="AC103" s="218"/>
      <c r="AD103" s="218"/>
      <c r="AE103" s="219"/>
      <c r="AF103" s="219"/>
      <c r="AG103" s="219"/>
      <c r="AH103" s="219"/>
      <c r="AI103" s="219"/>
      <c r="AJ103" s="219"/>
      <c r="AK103" s="219"/>
      <c r="AL103" s="219"/>
      <c r="AM103" s="219"/>
      <c r="AN103" s="219"/>
      <c r="AO103" s="219"/>
      <c r="AP103" s="219"/>
      <c r="AQ103" s="219"/>
      <c r="AR103" s="219"/>
    </row>
    <row r="104" spans="1:44" x14ac:dyDescent="0.35">
      <c r="A104" s="236"/>
      <c r="B104" s="236"/>
      <c r="C104" s="236"/>
      <c r="D104" s="200"/>
      <c r="E104" s="236"/>
      <c r="F104" s="236"/>
      <c r="G104" s="236"/>
      <c r="H104" s="236"/>
      <c r="I104" s="236"/>
      <c r="J104" s="236"/>
      <c r="K104" s="236"/>
      <c r="L104" s="236"/>
      <c r="M104" s="236"/>
      <c r="N104" s="236"/>
      <c r="O104" s="236"/>
      <c r="P104" s="236"/>
      <c r="Q104" s="236"/>
      <c r="R104" s="236"/>
      <c r="S104" s="218"/>
      <c r="T104" s="218"/>
      <c r="U104" s="218"/>
      <c r="V104" s="218"/>
      <c r="W104" s="218"/>
      <c r="X104" s="218"/>
      <c r="Y104" s="218"/>
      <c r="Z104" s="218"/>
      <c r="AA104" s="218"/>
      <c r="AB104" s="218"/>
      <c r="AC104" s="218"/>
      <c r="AD104" s="218"/>
      <c r="AE104" s="219"/>
      <c r="AF104" s="219"/>
      <c r="AG104" s="219"/>
      <c r="AH104" s="219"/>
      <c r="AI104" s="219"/>
      <c r="AJ104" s="219"/>
      <c r="AK104" s="219"/>
      <c r="AL104" s="219"/>
      <c r="AM104" s="219"/>
      <c r="AN104" s="219"/>
      <c r="AO104" s="219"/>
      <c r="AP104" s="219"/>
      <c r="AQ104" s="219"/>
      <c r="AR104" s="219"/>
    </row>
    <row r="105" spans="1:44" x14ac:dyDescent="0.35">
      <c r="A105" s="236"/>
      <c r="B105" s="236"/>
      <c r="C105" s="236"/>
      <c r="D105" s="200"/>
      <c r="E105" s="236"/>
      <c r="F105" s="236"/>
      <c r="G105" s="236"/>
      <c r="H105" s="236"/>
      <c r="I105" s="236"/>
      <c r="J105" s="236"/>
      <c r="K105" s="236"/>
      <c r="L105" s="236"/>
      <c r="M105" s="236"/>
      <c r="N105" s="236"/>
      <c r="O105" s="236"/>
      <c r="P105" s="236"/>
      <c r="Q105" s="236"/>
      <c r="R105" s="236"/>
      <c r="S105" s="218"/>
      <c r="T105" s="218"/>
      <c r="U105" s="218"/>
      <c r="V105" s="218"/>
      <c r="W105" s="218"/>
      <c r="X105" s="218"/>
      <c r="Y105" s="218"/>
      <c r="Z105" s="218"/>
      <c r="AA105" s="218"/>
      <c r="AB105" s="218"/>
      <c r="AC105" s="218"/>
      <c r="AD105" s="218"/>
      <c r="AE105" s="219"/>
      <c r="AF105" s="219"/>
      <c r="AG105" s="219"/>
      <c r="AH105" s="219"/>
      <c r="AI105" s="219"/>
      <c r="AJ105" s="219"/>
      <c r="AK105" s="219"/>
      <c r="AL105" s="219"/>
      <c r="AM105" s="219"/>
      <c r="AN105" s="219"/>
      <c r="AO105" s="219"/>
      <c r="AP105" s="219"/>
      <c r="AQ105" s="219"/>
      <c r="AR105" s="219"/>
    </row>
    <row r="106" spans="1:44" x14ac:dyDescent="0.35">
      <c r="A106" s="236"/>
      <c r="B106" s="236"/>
      <c r="C106" s="236"/>
      <c r="D106" s="200"/>
      <c r="E106" s="236"/>
      <c r="F106" s="236"/>
      <c r="G106" s="236"/>
      <c r="H106" s="236"/>
      <c r="I106" s="236"/>
      <c r="J106" s="236"/>
      <c r="K106" s="236"/>
      <c r="L106" s="236"/>
      <c r="M106" s="236"/>
      <c r="N106" s="236"/>
      <c r="O106" s="236"/>
      <c r="P106" s="236"/>
      <c r="Q106" s="236"/>
      <c r="R106" s="236"/>
      <c r="S106" s="218"/>
      <c r="T106" s="218"/>
      <c r="U106" s="218"/>
      <c r="V106" s="218"/>
      <c r="W106" s="218"/>
      <c r="X106" s="218"/>
      <c r="Y106" s="218"/>
      <c r="Z106" s="218"/>
      <c r="AA106" s="218"/>
      <c r="AB106" s="218"/>
      <c r="AC106" s="218"/>
      <c r="AD106" s="218"/>
      <c r="AE106" s="219"/>
      <c r="AF106" s="219"/>
      <c r="AG106" s="219"/>
      <c r="AH106" s="219"/>
      <c r="AI106" s="219"/>
      <c r="AJ106" s="219"/>
      <c r="AK106" s="219"/>
      <c r="AL106" s="219"/>
      <c r="AM106" s="219"/>
      <c r="AN106" s="219"/>
      <c r="AO106" s="219"/>
      <c r="AP106" s="219"/>
      <c r="AQ106" s="219"/>
      <c r="AR106" s="219"/>
    </row>
    <row r="107" spans="1:44" x14ac:dyDescent="0.35">
      <c r="A107" s="236"/>
      <c r="B107" s="236"/>
      <c r="C107" s="236"/>
      <c r="D107" s="200"/>
      <c r="E107" s="236"/>
      <c r="F107" s="236"/>
      <c r="G107" s="236"/>
      <c r="H107" s="236"/>
      <c r="I107" s="236"/>
      <c r="J107" s="236"/>
      <c r="K107" s="236"/>
      <c r="L107" s="236"/>
      <c r="M107" s="236"/>
      <c r="N107" s="236"/>
      <c r="O107" s="236"/>
      <c r="P107" s="236"/>
      <c r="Q107" s="236"/>
      <c r="R107" s="236"/>
      <c r="S107" s="218"/>
      <c r="T107" s="218"/>
      <c r="U107" s="218"/>
      <c r="V107" s="218"/>
      <c r="W107" s="218"/>
      <c r="X107" s="218"/>
      <c r="Y107" s="218"/>
      <c r="Z107" s="218"/>
      <c r="AA107" s="218"/>
      <c r="AB107" s="218"/>
      <c r="AC107" s="218"/>
      <c r="AD107" s="218"/>
      <c r="AE107" s="219"/>
      <c r="AF107" s="219"/>
      <c r="AG107" s="219"/>
      <c r="AH107" s="219"/>
      <c r="AI107" s="219"/>
      <c r="AJ107" s="219"/>
      <c r="AK107" s="219"/>
      <c r="AL107" s="219"/>
      <c r="AM107" s="219"/>
      <c r="AN107" s="219"/>
      <c r="AO107" s="219"/>
      <c r="AP107" s="219"/>
      <c r="AQ107" s="219"/>
      <c r="AR107" s="219"/>
    </row>
    <row r="108" spans="1:44" x14ac:dyDescent="0.35">
      <c r="A108" s="236"/>
      <c r="B108" s="236"/>
      <c r="C108" s="236"/>
      <c r="D108" s="200"/>
      <c r="E108" s="236"/>
      <c r="F108" s="236"/>
      <c r="G108" s="236"/>
      <c r="H108" s="236"/>
      <c r="I108" s="236"/>
      <c r="J108" s="236"/>
      <c r="K108" s="236"/>
      <c r="L108" s="236"/>
      <c r="M108" s="236"/>
      <c r="N108" s="236"/>
      <c r="O108" s="236"/>
      <c r="P108" s="236"/>
      <c r="Q108" s="236"/>
      <c r="R108" s="236"/>
      <c r="S108" s="218"/>
      <c r="T108" s="218"/>
      <c r="U108" s="218"/>
      <c r="V108" s="218"/>
      <c r="W108" s="218"/>
      <c r="X108" s="218"/>
      <c r="Y108" s="218"/>
      <c r="Z108" s="218"/>
      <c r="AA108" s="218"/>
      <c r="AB108" s="218"/>
      <c r="AC108" s="218"/>
      <c r="AD108" s="218"/>
      <c r="AE108" s="219"/>
      <c r="AF108" s="219"/>
      <c r="AG108" s="219"/>
      <c r="AH108" s="219"/>
      <c r="AI108" s="219"/>
      <c r="AJ108" s="219"/>
      <c r="AK108" s="219"/>
      <c r="AL108" s="219"/>
      <c r="AM108" s="219"/>
      <c r="AN108" s="219"/>
      <c r="AO108" s="219"/>
      <c r="AP108" s="219"/>
      <c r="AQ108" s="219"/>
      <c r="AR108" s="219"/>
    </row>
    <row r="109" spans="1:44" x14ac:dyDescent="0.35">
      <c r="A109" s="236"/>
      <c r="B109" s="236"/>
      <c r="C109" s="236"/>
      <c r="D109" s="200"/>
      <c r="E109" s="236"/>
      <c r="F109" s="236"/>
      <c r="G109" s="236"/>
      <c r="H109" s="236"/>
      <c r="I109" s="236"/>
      <c r="J109" s="236"/>
      <c r="K109" s="236"/>
      <c r="L109" s="236"/>
      <c r="M109" s="236"/>
      <c r="N109" s="236"/>
      <c r="O109" s="236"/>
      <c r="P109" s="236"/>
      <c r="Q109" s="236"/>
      <c r="R109" s="236"/>
      <c r="S109" s="218"/>
      <c r="T109" s="218"/>
      <c r="U109" s="218"/>
      <c r="V109" s="218"/>
      <c r="W109" s="218"/>
      <c r="X109" s="218"/>
      <c r="Y109" s="218"/>
      <c r="Z109" s="218"/>
      <c r="AA109" s="218"/>
      <c r="AB109" s="218"/>
      <c r="AC109" s="218"/>
      <c r="AD109" s="218"/>
      <c r="AE109" s="219"/>
      <c r="AF109" s="219"/>
      <c r="AG109" s="219"/>
      <c r="AH109" s="219"/>
      <c r="AI109" s="219"/>
      <c r="AJ109" s="219"/>
      <c r="AK109" s="219"/>
      <c r="AL109" s="219"/>
      <c r="AM109" s="219"/>
      <c r="AN109" s="219"/>
      <c r="AO109" s="219"/>
      <c r="AP109" s="219"/>
      <c r="AQ109" s="219"/>
      <c r="AR109" s="219"/>
    </row>
    <row r="110" spans="1:44" x14ac:dyDescent="0.35">
      <c r="A110" s="236"/>
      <c r="B110" s="236"/>
      <c r="C110" s="236"/>
      <c r="D110" s="200"/>
      <c r="E110" s="236"/>
      <c r="F110" s="236"/>
      <c r="G110" s="236"/>
      <c r="H110" s="236"/>
      <c r="I110" s="236"/>
      <c r="J110" s="236"/>
      <c r="K110" s="236"/>
      <c r="L110" s="236"/>
      <c r="M110" s="236"/>
      <c r="N110" s="236"/>
      <c r="O110" s="236"/>
      <c r="P110" s="236"/>
      <c r="Q110" s="236"/>
      <c r="R110" s="236"/>
      <c r="S110" s="218"/>
      <c r="T110" s="218"/>
      <c r="U110" s="218"/>
      <c r="V110" s="218"/>
      <c r="W110" s="218"/>
      <c r="X110" s="218"/>
      <c r="Y110" s="218"/>
      <c r="Z110" s="218"/>
      <c r="AA110" s="218"/>
      <c r="AB110" s="218"/>
      <c r="AC110" s="218"/>
      <c r="AD110" s="218"/>
      <c r="AE110" s="219"/>
      <c r="AF110" s="219"/>
      <c r="AG110" s="219"/>
      <c r="AH110" s="219"/>
      <c r="AI110" s="219"/>
      <c r="AJ110" s="219"/>
      <c r="AK110" s="219"/>
      <c r="AL110" s="219"/>
      <c r="AM110" s="219"/>
      <c r="AN110" s="219"/>
      <c r="AO110" s="219"/>
      <c r="AP110" s="219"/>
      <c r="AQ110" s="219"/>
      <c r="AR110" s="219"/>
    </row>
    <row r="111" spans="1:44" x14ac:dyDescent="0.35">
      <c r="A111" s="236"/>
      <c r="B111" s="236"/>
      <c r="C111" s="236"/>
      <c r="D111" s="200"/>
      <c r="E111" s="236"/>
      <c r="F111" s="236"/>
      <c r="G111" s="236"/>
      <c r="H111" s="236"/>
      <c r="I111" s="236"/>
      <c r="J111" s="236"/>
      <c r="K111" s="236"/>
      <c r="L111" s="236"/>
      <c r="M111" s="236"/>
      <c r="N111" s="236"/>
      <c r="O111" s="236"/>
      <c r="P111" s="236"/>
      <c r="Q111" s="236"/>
      <c r="R111" s="236"/>
      <c r="S111" s="218"/>
      <c r="T111" s="218"/>
      <c r="U111" s="218"/>
      <c r="V111" s="218"/>
      <c r="W111" s="218"/>
      <c r="X111" s="218"/>
      <c r="Y111" s="218"/>
      <c r="Z111" s="218"/>
      <c r="AA111" s="218"/>
      <c r="AB111" s="218"/>
      <c r="AC111" s="218"/>
      <c r="AD111" s="218"/>
      <c r="AE111" s="219"/>
      <c r="AF111" s="219"/>
      <c r="AG111" s="219"/>
      <c r="AH111" s="219"/>
      <c r="AI111" s="219"/>
      <c r="AJ111" s="219"/>
      <c r="AK111" s="219"/>
      <c r="AL111" s="219"/>
      <c r="AM111" s="219"/>
      <c r="AN111" s="219"/>
      <c r="AO111" s="219"/>
      <c r="AP111" s="219"/>
      <c r="AQ111" s="219"/>
      <c r="AR111" s="219"/>
    </row>
    <row r="112" spans="1:44" x14ac:dyDescent="0.35">
      <c r="A112" s="236"/>
      <c r="B112" s="236"/>
      <c r="C112" s="236"/>
      <c r="D112" s="200"/>
      <c r="E112" s="236"/>
      <c r="F112" s="236"/>
      <c r="G112" s="236"/>
      <c r="H112" s="236"/>
      <c r="I112" s="236"/>
      <c r="J112" s="236"/>
      <c r="K112" s="236"/>
      <c r="L112" s="236"/>
      <c r="M112" s="236"/>
      <c r="N112" s="236"/>
      <c r="O112" s="236"/>
      <c r="P112" s="236"/>
      <c r="Q112" s="236"/>
      <c r="R112" s="236"/>
      <c r="S112" s="218"/>
      <c r="T112" s="218"/>
      <c r="U112" s="218"/>
      <c r="V112" s="218"/>
      <c r="W112" s="218"/>
      <c r="X112" s="218"/>
      <c r="Y112" s="218"/>
      <c r="Z112" s="218"/>
      <c r="AA112" s="218"/>
      <c r="AB112" s="218"/>
      <c r="AC112" s="218"/>
      <c r="AD112" s="218"/>
      <c r="AE112" s="219"/>
      <c r="AF112" s="219"/>
      <c r="AG112" s="219"/>
      <c r="AH112" s="219"/>
      <c r="AI112" s="219"/>
      <c r="AJ112" s="219"/>
      <c r="AK112" s="219"/>
      <c r="AL112" s="219"/>
      <c r="AM112" s="219"/>
      <c r="AN112" s="219"/>
      <c r="AO112" s="219"/>
      <c r="AP112" s="219"/>
      <c r="AQ112" s="219"/>
      <c r="AR112" s="219"/>
    </row>
    <row r="113" spans="1:44" x14ac:dyDescent="0.35">
      <c r="A113" s="236"/>
      <c r="B113" s="236"/>
      <c r="C113" s="236"/>
      <c r="D113" s="200"/>
      <c r="E113" s="236"/>
      <c r="F113" s="236"/>
      <c r="G113" s="236"/>
      <c r="H113" s="236"/>
      <c r="I113" s="236"/>
      <c r="J113" s="236"/>
      <c r="K113" s="236"/>
      <c r="L113" s="236"/>
      <c r="M113" s="236"/>
      <c r="N113" s="236"/>
      <c r="O113" s="236"/>
      <c r="P113" s="236"/>
      <c r="Q113" s="236"/>
      <c r="R113" s="236"/>
      <c r="S113" s="218"/>
      <c r="T113" s="218"/>
      <c r="U113" s="218"/>
      <c r="V113" s="218"/>
      <c r="W113" s="218"/>
      <c r="X113" s="218"/>
      <c r="Y113" s="218"/>
      <c r="Z113" s="218"/>
      <c r="AA113" s="218"/>
      <c r="AB113" s="218"/>
      <c r="AC113" s="218"/>
      <c r="AD113" s="218"/>
      <c r="AE113" s="219"/>
      <c r="AF113" s="219"/>
      <c r="AG113" s="219"/>
      <c r="AH113" s="219"/>
      <c r="AI113" s="219"/>
      <c r="AJ113" s="219"/>
      <c r="AK113" s="219"/>
      <c r="AL113" s="219"/>
      <c r="AM113" s="219"/>
      <c r="AN113" s="219"/>
      <c r="AO113" s="219"/>
      <c r="AP113" s="219"/>
      <c r="AQ113" s="219"/>
      <c r="AR113" s="219"/>
    </row>
    <row r="114" spans="1:44" x14ac:dyDescent="0.35">
      <c r="A114" s="236"/>
      <c r="B114" s="236"/>
      <c r="C114" s="236"/>
      <c r="D114" s="200"/>
      <c r="E114" s="236"/>
      <c r="F114" s="236"/>
      <c r="G114" s="236"/>
      <c r="H114" s="236"/>
      <c r="I114" s="236"/>
      <c r="J114" s="236"/>
      <c r="K114" s="236"/>
      <c r="L114" s="236"/>
      <c r="M114" s="236"/>
      <c r="N114" s="236"/>
      <c r="O114" s="236"/>
      <c r="P114" s="236"/>
      <c r="Q114" s="236"/>
      <c r="R114" s="236"/>
      <c r="S114" s="218"/>
      <c r="T114" s="218"/>
      <c r="U114" s="218"/>
      <c r="V114" s="218"/>
      <c r="W114" s="218"/>
      <c r="X114" s="218"/>
      <c r="Y114" s="218"/>
      <c r="Z114" s="218"/>
      <c r="AA114" s="218"/>
      <c r="AB114" s="218"/>
      <c r="AC114" s="218"/>
      <c r="AD114" s="218"/>
      <c r="AE114" s="219"/>
      <c r="AF114" s="219"/>
      <c r="AG114" s="219"/>
      <c r="AH114" s="219"/>
      <c r="AI114" s="219"/>
      <c r="AJ114" s="219"/>
      <c r="AK114" s="219"/>
      <c r="AL114" s="219"/>
      <c r="AM114" s="219"/>
      <c r="AN114" s="219"/>
      <c r="AO114" s="219"/>
      <c r="AP114" s="219"/>
      <c r="AQ114" s="219"/>
      <c r="AR114" s="219"/>
    </row>
    <row r="115" spans="1:44" x14ac:dyDescent="0.35">
      <c r="A115" s="236"/>
      <c r="B115" s="236"/>
      <c r="C115" s="236"/>
      <c r="D115" s="200"/>
      <c r="E115" s="236"/>
      <c r="F115" s="236"/>
      <c r="G115" s="236"/>
      <c r="H115" s="236"/>
      <c r="I115" s="236"/>
      <c r="J115" s="236"/>
      <c r="K115" s="236"/>
      <c r="L115" s="236"/>
      <c r="M115" s="236"/>
      <c r="N115" s="236"/>
      <c r="O115" s="236"/>
      <c r="P115" s="236"/>
      <c r="Q115" s="236"/>
      <c r="R115" s="236"/>
      <c r="S115" s="218"/>
      <c r="T115" s="218"/>
      <c r="U115" s="218"/>
      <c r="V115" s="218"/>
      <c r="W115" s="218"/>
      <c r="X115" s="218"/>
      <c r="Y115" s="218"/>
      <c r="Z115" s="218"/>
      <c r="AA115" s="218"/>
      <c r="AB115" s="218"/>
      <c r="AC115" s="218"/>
      <c r="AD115" s="218"/>
      <c r="AE115" s="219"/>
      <c r="AF115" s="219"/>
      <c r="AG115" s="219"/>
      <c r="AH115" s="219"/>
      <c r="AI115" s="219"/>
      <c r="AJ115" s="219"/>
      <c r="AK115" s="219"/>
      <c r="AL115" s="219"/>
      <c r="AM115" s="219"/>
      <c r="AN115" s="219"/>
      <c r="AO115" s="219"/>
      <c r="AP115" s="219"/>
      <c r="AQ115" s="219"/>
      <c r="AR115" s="219"/>
    </row>
    <row r="116" spans="1:44" x14ac:dyDescent="0.35">
      <c r="A116" s="236"/>
      <c r="B116" s="236"/>
      <c r="C116" s="236"/>
      <c r="D116" s="200"/>
      <c r="E116" s="236"/>
      <c r="F116" s="236"/>
      <c r="G116" s="236"/>
      <c r="H116" s="236"/>
      <c r="I116" s="236"/>
      <c r="J116" s="236"/>
      <c r="K116" s="236"/>
      <c r="L116" s="236"/>
      <c r="M116" s="236"/>
      <c r="N116" s="236"/>
      <c r="O116" s="236"/>
      <c r="P116" s="236"/>
      <c r="Q116" s="236"/>
      <c r="R116" s="236"/>
      <c r="S116" s="218"/>
      <c r="T116" s="218"/>
      <c r="U116" s="218"/>
      <c r="V116" s="218"/>
      <c r="W116" s="218"/>
      <c r="X116" s="218"/>
      <c r="Y116" s="218"/>
      <c r="Z116" s="218"/>
      <c r="AA116" s="218"/>
      <c r="AB116" s="218"/>
      <c r="AC116" s="218"/>
      <c r="AD116" s="218"/>
      <c r="AE116" s="219"/>
      <c r="AF116" s="219"/>
      <c r="AG116" s="219"/>
      <c r="AH116" s="219"/>
      <c r="AI116" s="219"/>
      <c r="AJ116" s="219"/>
      <c r="AK116" s="219"/>
      <c r="AL116" s="219"/>
      <c r="AM116" s="219"/>
      <c r="AN116" s="219"/>
      <c r="AO116" s="219"/>
      <c r="AP116" s="219"/>
      <c r="AQ116" s="219"/>
      <c r="AR116" s="219"/>
    </row>
    <row r="117" spans="1:44" x14ac:dyDescent="0.35">
      <c r="A117" s="236"/>
      <c r="B117" s="236"/>
      <c r="C117" s="236"/>
      <c r="D117" s="200"/>
      <c r="E117" s="236"/>
      <c r="F117" s="236"/>
      <c r="G117" s="236"/>
      <c r="H117" s="236"/>
      <c r="I117" s="236"/>
      <c r="J117" s="236"/>
      <c r="K117" s="236"/>
      <c r="L117" s="236"/>
      <c r="M117" s="236"/>
      <c r="N117" s="236"/>
      <c r="O117" s="236"/>
      <c r="P117" s="236"/>
      <c r="Q117" s="236"/>
      <c r="R117" s="236"/>
      <c r="S117" s="218"/>
      <c r="T117" s="218"/>
      <c r="U117" s="218"/>
      <c r="V117" s="218"/>
      <c r="W117" s="218"/>
      <c r="X117" s="218"/>
      <c r="Y117" s="218"/>
      <c r="Z117" s="218"/>
      <c r="AA117" s="218"/>
      <c r="AB117" s="218"/>
      <c r="AC117" s="218"/>
      <c r="AD117" s="218"/>
      <c r="AE117" s="219"/>
      <c r="AF117" s="219"/>
      <c r="AG117" s="219"/>
      <c r="AH117" s="219"/>
      <c r="AI117" s="219"/>
      <c r="AJ117" s="219"/>
      <c r="AK117" s="219"/>
      <c r="AL117" s="219"/>
      <c r="AM117" s="219"/>
      <c r="AN117" s="219"/>
      <c r="AO117" s="219"/>
      <c r="AP117" s="219"/>
      <c r="AQ117" s="219"/>
      <c r="AR117" s="219"/>
    </row>
    <row r="118" spans="1:44" x14ac:dyDescent="0.35">
      <c r="A118" s="236"/>
      <c r="B118" s="236"/>
      <c r="C118" s="236"/>
      <c r="D118" s="200"/>
      <c r="E118" s="236"/>
      <c r="F118" s="236"/>
      <c r="G118" s="236"/>
      <c r="H118" s="236"/>
      <c r="I118" s="236"/>
      <c r="J118" s="236"/>
      <c r="K118" s="236"/>
      <c r="L118" s="236"/>
      <c r="M118" s="236"/>
      <c r="N118" s="236"/>
      <c r="O118" s="236"/>
      <c r="P118" s="236"/>
      <c r="Q118" s="236"/>
      <c r="R118" s="236"/>
      <c r="S118" s="218"/>
      <c r="T118" s="218"/>
      <c r="U118" s="218"/>
      <c r="V118" s="218"/>
      <c r="W118" s="218"/>
      <c r="X118" s="218"/>
      <c r="Y118" s="218"/>
      <c r="Z118" s="218"/>
      <c r="AA118" s="218"/>
      <c r="AB118" s="218"/>
      <c r="AC118" s="218"/>
      <c r="AD118" s="218"/>
      <c r="AE118" s="219"/>
      <c r="AF118" s="219"/>
      <c r="AG118" s="219"/>
      <c r="AH118" s="219"/>
      <c r="AI118" s="219"/>
      <c r="AJ118" s="219"/>
      <c r="AK118" s="219"/>
      <c r="AL118" s="219"/>
      <c r="AM118" s="219"/>
      <c r="AN118" s="219"/>
      <c r="AO118" s="219"/>
      <c r="AP118" s="219"/>
      <c r="AQ118" s="219"/>
      <c r="AR118" s="219"/>
    </row>
    <row r="119" spans="1:44" x14ac:dyDescent="0.35">
      <c r="A119" s="236"/>
      <c r="B119" s="236"/>
      <c r="C119" s="236"/>
      <c r="D119" s="200"/>
      <c r="E119" s="236"/>
      <c r="F119" s="236"/>
      <c r="G119" s="236"/>
      <c r="H119" s="236"/>
      <c r="I119" s="236"/>
      <c r="J119" s="236"/>
      <c r="K119" s="236"/>
      <c r="L119" s="236"/>
      <c r="M119" s="236"/>
      <c r="N119" s="236"/>
      <c r="O119" s="236"/>
      <c r="P119" s="236"/>
      <c r="Q119" s="236"/>
      <c r="R119" s="236"/>
      <c r="S119" s="218"/>
      <c r="T119" s="218"/>
      <c r="U119" s="218"/>
      <c r="V119" s="218"/>
      <c r="W119" s="218"/>
      <c r="X119" s="218"/>
      <c r="Y119" s="218"/>
      <c r="Z119" s="218"/>
      <c r="AA119" s="218"/>
      <c r="AB119" s="218"/>
      <c r="AC119" s="218"/>
      <c r="AD119" s="218"/>
      <c r="AE119" s="219"/>
      <c r="AF119" s="219"/>
      <c r="AG119" s="219"/>
      <c r="AH119" s="219"/>
      <c r="AI119" s="219"/>
      <c r="AJ119" s="219"/>
      <c r="AK119" s="219"/>
      <c r="AL119" s="219"/>
      <c r="AM119" s="219"/>
      <c r="AN119" s="219"/>
      <c r="AO119" s="219"/>
      <c r="AP119" s="219"/>
      <c r="AQ119" s="219"/>
      <c r="AR119" s="219"/>
    </row>
    <row r="120" spans="1:44" x14ac:dyDescent="0.35">
      <c r="A120" s="236"/>
      <c r="B120" s="236"/>
      <c r="C120" s="236"/>
      <c r="D120" s="200"/>
      <c r="E120" s="236"/>
      <c r="F120" s="236"/>
      <c r="G120" s="236"/>
      <c r="H120" s="236"/>
      <c r="I120" s="236"/>
      <c r="J120" s="236"/>
      <c r="K120" s="236"/>
      <c r="L120" s="236"/>
      <c r="M120" s="236"/>
      <c r="N120" s="236"/>
      <c r="O120" s="236"/>
      <c r="P120" s="236"/>
      <c r="Q120" s="236"/>
      <c r="R120" s="236"/>
      <c r="S120" s="218"/>
      <c r="T120" s="218"/>
      <c r="U120" s="218"/>
      <c r="V120" s="218"/>
      <c r="W120" s="218"/>
      <c r="X120" s="218"/>
      <c r="Y120" s="218"/>
      <c r="Z120" s="218"/>
      <c r="AA120" s="218"/>
      <c r="AB120" s="218"/>
      <c r="AC120" s="218"/>
      <c r="AD120" s="218"/>
      <c r="AE120" s="219"/>
      <c r="AF120" s="219"/>
      <c r="AG120" s="219"/>
      <c r="AH120" s="219"/>
      <c r="AI120" s="219"/>
      <c r="AJ120" s="219"/>
      <c r="AK120" s="219"/>
      <c r="AL120" s="219"/>
      <c r="AM120" s="219"/>
      <c r="AN120" s="219"/>
      <c r="AO120" s="219"/>
      <c r="AP120" s="219"/>
      <c r="AQ120" s="219"/>
      <c r="AR120" s="219"/>
    </row>
    <row r="121" spans="1:44" x14ac:dyDescent="0.35">
      <c r="A121" s="236"/>
      <c r="B121" s="236"/>
      <c r="C121" s="236"/>
      <c r="D121" s="200"/>
      <c r="E121" s="236"/>
      <c r="F121" s="236"/>
      <c r="G121" s="236"/>
      <c r="H121" s="236"/>
      <c r="I121" s="236"/>
      <c r="J121" s="236"/>
      <c r="K121" s="236"/>
      <c r="L121" s="236"/>
      <c r="M121" s="236"/>
      <c r="N121" s="236"/>
      <c r="O121" s="236"/>
      <c r="P121" s="236"/>
      <c r="Q121" s="236"/>
      <c r="R121" s="236"/>
      <c r="S121" s="218"/>
      <c r="T121" s="218"/>
      <c r="U121" s="218"/>
      <c r="V121" s="218"/>
      <c r="W121" s="218"/>
      <c r="X121" s="218"/>
      <c r="Y121" s="218"/>
      <c r="Z121" s="218"/>
      <c r="AA121" s="218"/>
      <c r="AB121" s="218"/>
      <c r="AC121" s="218"/>
      <c r="AD121" s="218"/>
      <c r="AE121" s="219"/>
      <c r="AF121" s="219"/>
      <c r="AG121" s="219"/>
      <c r="AH121" s="219"/>
      <c r="AI121" s="219"/>
      <c r="AJ121" s="219"/>
      <c r="AK121" s="219"/>
      <c r="AL121" s="219"/>
      <c r="AM121" s="219"/>
      <c r="AN121" s="219"/>
      <c r="AO121" s="219"/>
      <c r="AP121" s="219"/>
      <c r="AQ121" s="219"/>
      <c r="AR121" s="219"/>
    </row>
    <row r="122" spans="1:44" x14ac:dyDescent="0.35">
      <c r="A122" s="236"/>
      <c r="B122" s="236"/>
      <c r="C122" s="236"/>
      <c r="D122" s="200"/>
      <c r="E122" s="236"/>
      <c r="F122" s="236"/>
      <c r="G122" s="236"/>
      <c r="H122" s="236"/>
      <c r="I122" s="236"/>
      <c r="J122" s="236"/>
      <c r="K122" s="236"/>
      <c r="L122" s="236"/>
      <c r="M122" s="236"/>
      <c r="N122" s="236"/>
      <c r="O122" s="236"/>
      <c r="P122" s="236"/>
      <c r="Q122" s="236"/>
      <c r="R122" s="236"/>
      <c r="S122" s="218"/>
      <c r="T122" s="218"/>
      <c r="U122" s="218"/>
      <c r="V122" s="218"/>
      <c r="W122" s="218"/>
      <c r="X122" s="218"/>
      <c r="Y122" s="218"/>
      <c r="Z122" s="218"/>
      <c r="AA122" s="218"/>
      <c r="AB122" s="218"/>
      <c r="AC122" s="218"/>
      <c r="AD122" s="218"/>
      <c r="AE122" s="219"/>
      <c r="AF122" s="219"/>
      <c r="AG122" s="219"/>
      <c r="AH122" s="219"/>
      <c r="AI122" s="219"/>
      <c r="AJ122" s="219"/>
      <c r="AK122" s="219"/>
      <c r="AL122" s="219"/>
      <c r="AM122" s="219"/>
      <c r="AN122" s="219"/>
      <c r="AO122" s="219"/>
      <c r="AP122" s="219"/>
      <c r="AQ122" s="219"/>
      <c r="AR122" s="219"/>
    </row>
    <row r="123" spans="1:44" x14ac:dyDescent="0.35">
      <c r="A123" s="236"/>
      <c r="B123" s="236"/>
      <c r="C123" s="236"/>
      <c r="D123" s="200"/>
      <c r="E123" s="236"/>
      <c r="F123" s="236"/>
      <c r="G123" s="236"/>
      <c r="H123" s="236"/>
      <c r="I123" s="236"/>
      <c r="J123" s="236"/>
      <c r="K123" s="236"/>
      <c r="L123" s="236"/>
      <c r="M123" s="236"/>
      <c r="N123" s="236"/>
      <c r="O123" s="236"/>
      <c r="P123" s="236"/>
      <c r="Q123" s="236"/>
      <c r="R123" s="236"/>
      <c r="S123" s="218"/>
      <c r="T123" s="218"/>
      <c r="U123" s="218"/>
      <c r="V123" s="218"/>
      <c r="W123" s="218"/>
      <c r="X123" s="218"/>
      <c r="Y123" s="218"/>
      <c r="Z123" s="218"/>
      <c r="AA123" s="218"/>
      <c r="AB123" s="218"/>
      <c r="AC123" s="218"/>
      <c r="AD123" s="218"/>
      <c r="AE123" s="219"/>
      <c r="AF123" s="219"/>
      <c r="AG123" s="219"/>
      <c r="AH123" s="219"/>
      <c r="AI123" s="219"/>
      <c r="AJ123" s="219"/>
      <c r="AK123" s="219"/>
      <c r="AL123" s="219"/>
      <c r="AM123" s="219"/>
      <c r="AN123" s="219"/>
      <c r="AO123" s="219"/>
      <c r="AP123" s="219"/>
      <c r="AQ123" s="219"/>
      <c r="AR123" s="219"/>
    </row>
    <row r="124" spans="1:44" x14ac:dyDescent="0.35">
      <c r="A124" s="236"/>
      <c r="B124" s="236"/>
      <c r="C124" s="236"/>
      <c r="D124" s="200"/>
      <c r="E124" s="236"/>
      <c r="F124" s="236"/>
      <c r="G124" s="236"/>
      <c r="H124" s="236"/>
      <c r="I124" s="236"/>
      <c r="J124" s="236"/>
      <c r="K124" s="236"/>
      <c r="L124" s="236"/>
      <c r="M124" s="236"/>
      <c r="N124" s="236"/>
      <c r="O124" s="236"/>
      <c r="P124" s="236"/>
      <c r="Q124" s="236"/>
      <c r="R124" s="236"/>
      <c r="S124" s="218"/>
      <c r="T124" s="218"/>
      <c r="U124" s="218"/>
      <c r="V124" s="218"/>
      <c r="W124" s="218"/>
      <c r="X124" s="218"/>
      <c r="Y124" s="218"/>
      <c r="Z124" s="218"/>
      <c r="AA124" s="218"/>
      <c r="AB124" s="218"/>
      <c r="AC124" s="218"/>
      <c r="AD124" s="218"/>
      <c r="AE124" s="219"/>
      <c r="AF124" s="219"/>
      <c r="AG124" s="219"/>
      <c r="AH124" s="219"/>
      <c r="AI124" s="219"/>
      <c r="AJ124" s="219"/>
      <c r="AK124" s="219"/>
      <c r="AL124" s="219"/>
      <c r="AM124" s="219"/>
      <c r="AN124" s="219"/>
      <c r="AO124" s="219"/>
      <c r="AP124" s="219"/>
      <c r="AQ124" s="219"/>
      <c r="AR124" s="219"/>
    </row>
    <row r="125" spans="1:44" x14ac:dyDescent="0.35">
      <c r="A125" s="236"/>
      <c r="B125" s="236"/>
      <c r="C125" s="236"/>
      <c r="D125" s="200"/>
      <c r="E125" s="236"/>
      <c r="F125" s="236"/>
      <c r="G125" s="236"/>
      <c r="H125" s="236"/>
      <c r="I125" s="236"/>
      <c r="J125" s="236"/>
      <c r="K125" s="236"/>
      <c r="L125" s="236"/>
      <c r="M125" s="236"/>
      <c r="N125" s="236"/>
      <c r="O125" s="236"/>
      <c r="P125" s="236"/>
      <c r="Q125" s="236"/>
      <c r="R125" s="236"/>
      <c r="S125" s="218"/>
      <c r="T125" s="218"/>
      <c r="U125" s="218"/>
      <c r="V125" s="218"/>
      <c r="W125" s="218"/>
      <c r="X125" s="218"/>
      <c r="Y125" s="218"/>
      <c r="Z125" s="218"/>
      <c r="AA125" s="218"/>
      <c r="AB125" s="218"/>
      <c r="AC125" s="218"/>
      <c r="AD125" s="218"/>
      <c r="AE125" s="219"/>
      <c r="AF125" s="219"/>
      <c r="AG125" s="219"/>
      <c r="AH125" s="219"/>
      <c r="AI125" s="219"/>
      <c r="AJ125" s="219"/>
      <c r="AK125" s="219"/>
      <c r="AL125" s="219"/>
      <c r="AM125" s="219"/>
      <c r="AN125" s="219"/>
      <c r="AO125" s="219"/>
      <c r="AP125" s="219"/>
      <c r="AQ125" s="219"/>
      <c r="AR125" s="219"/>
    </row>
    <row r="126" spans="1:44" x14ac:dyDescent="0.35">
      <c r="A126" s="236"/>
      <c r="B126" s="236"/>
      <c r="C126" s="236"/>
      <c r="D126" s="200"/>
      <c r="E126" s="236"/>
      <c r="F126" s="236"/>
      <c r="G126" s="236"/>
      <c r="H126" s="236"/>
      <c r="I126" s="236"/>
      <c r="J126" s="236"/>
      <c r="K126" s="236"/>
      <c r="L126" s="236"/>
      <c r="M126" s="236"/>
      <c r="N126" s="236"/>
      <c r="O126" s="236"/>
      <c r="P126" s="236"/>
      <c r="Q126" s="236"/>
      <c r="R126" s="236"/>
      <c r="S126" s="218"/>
      <c r="T126" s="218"/>
      <c r="U126" s="218"/>
      <c r="V126" s="218"/>
      <c r="W126" s="218"/>
      <c r="X126" s="218"/>
      <c r="Y126" s="218"/>
      <c r="Z126" s="218"/>
      <c r="AA126" s="218"/>
      <c r="AB126" s="218"/>
      <c r="AC126" s="218"/>
      <c r="AD126" s="218"/>
      <c r="AE126" s="219"/>
      <c r="AF126" s="219"/>
      <c r="AG126" s="219"/>
      <c r="AH126" s="219"/>
      <c r="AI126" s="219"/>
      <c r="AJ126" s="219"/>
      <c r="AK126" s="219"/>
      <c r="AL126" s="219"/>
      <c r="AM126" s="219"/>
      <c r="AN126" s="219"/>
      <c r="AO126" s="219"/>
      <c r="AP126" s="219"/>
      <c r="AQ126" s="219"/>
      <c r="AR126" s="219"/>
    </row>
    <row r="127" spans="1:44" x14ac:dyDescent="0.35">
      <c r="A127" s="236"/>
      <c r="B127" s="236"/>
      <c r="C127" s="236"/>
      <c r="D127" s="200"/>
      <c r="E127" s="236"/>
      <c r="F127" s="236"/>
      <c r="G127" s="236"/>
      <c r="H127" s="236"/>
      <c r="I127" s="236"/>
      <c r="J127" s="236"/>
      <c r="K127" s="236"/>
      <c r="L127" s="236"/>
      <c r="M127" s="236"/>
      <c r="N127" s="236"/>
      <c r="O127" s="236"/>
      <c r="P127" s="236"/>
      <c r="Q127" s="236"/>
      <c r="R127" s="236"/>
      <c r="S127" s="218"/>
      <c r="T127" s="218"/>
      <c r="U127" s="218"/>
      <c r="V127" s="218"/>
      <c r="W127" s="218"/>
      <c r="X127" s="218"/>
      <c r="Y127" s="218"/>
      <c r="Z127" s="218"/>
      <c r="AA127" s="218"/>
      <c r="AB127" s="218"/>
      <c r="AC127" s="218"/>
      <c r="AD127" s="218"/>
      <c r="AE127" s="219"/>
      <c r="AF127" s="219"/>
      <c r="AG127" s="219"/>
      <c r="AH127" s="219"/>
      <c r="AI127" s="219"/>
      <c r="AJ127" s="219"/>
      <c r="AK127" s="219"/>
      <c r="AL127" s="219"/>
      <c r="AM127" s="219"/>
      <c r="AN127" s="219"/>
      <c r="AO127" s="219"/>
      <c r="AP127" s="219"/>
      <c r="AQ127" s="219"/>
      <c r="AR127" s="219"/>
    </row>
    <row r="128" spans="1:44" x14ac:dyDescent="0.35">
      <c r="A128" s="236"/>
      <c r="B128" s="236"/>
      <c r="C128" s="236"/>
      <c r="D128" s="200"/>
      <c r="E128" s="236"/>
      <c r="F128" s="236"/>
      <c r="G128" s="236"/>
      <c r="H128" s="236"/>
      <c r="I128" s="236"/>
      <c r="J128" s="236"/>
      <c r="K128" s="236"/>
      <c r="L128" s="236"/>
      <c r="M128" s="236"/>
      <c r="N128" s="236"/>
      <c r="O128" s="236"/>
      <c r="P128" s="236"/>
      <c r="Q128" s="236"/>
      <c r="R128" s="236"/>
      <c r="S128" s="218"/>
      <c r="T128" s="218"/>
      <c r="U128" s="218"/>
      <c r="V128" s="218"/>
      <c r="W128" s="218"/>
      <c r="X128" s="218"/>
      <c r="Y128" s="218"/>
      <c r="Z128" s="218"/>
      <c r="AA128" s="218"/>
      <c r="AB128" s="218"/>
      <c r="AC128" s="218"/>
      <c r="AD128" s="218"/>
      <c r="AE128" s="219"/>
      <c r="AF128" s="219"/>
      <c r="AG128" s="219"/>
      <c r="AH128" s="219"/>
      <c r="AI128" s="219"/>
      <c r="AJ128" s="219"/>
      <c r="AK128" s="219"/>
      <c r="AL128" s="219"/>
      <c r="AM128" s="219"/>
      <c r="AN128" s="219"/>
      <c r="AO128" s="219"/>
      <c r="AP128" s="219"/>
      <c r="AQ128" s="219"/>
      <c r="AR128" s="219"/>
    </row>
    <row r="129" spans="1:44" x14ac:dyDescent="0.35">
      <c r="A129" s="236"/>
      <c r="B129" s="236"/>
      <c r="C129" s="236"/>
      <c r="D129" s="200"/>
      <c r="E129" s="236"/>
      <c r="F129" s="236"/>
      <c r="G129" s="236"/>
      <c r="H129" s="236"/>
      <c r="I129" s="236"/>
      <c r="J129" s="236"/>
      <c r="K129" s="236"/>
      <c r="L129" s="236"/>
      <c r="M129" s="236"/>
      <c r="N129" s="236"/>
      <c r="O129" s="236"/>
      <c r="P129" s="236"/>
      <c r="Q129" s="236"/>
      <c r="R129" s="236"/>
      <c r="S129" s="218"/>
      <c r="T129" s="218"/>
      <c r="U129" s="218"/>
      <c r="V129" s="218"/>
      <c r="W129" s="218"/>
      <c r="X129" s="218"/>
      <c r="Y129" s="218"/>
      <c r="Z129" s="218"/>
      <c r="AA129" s="218"/>
      <c r="AB129" s="218"/>
      <c r="AC129" s="218"/>
      <c r="AD129" s="218"/>
      <c r="AE129" s="219"/>
      <c r="AF129" s="219"/>
      <c r="AG129" s="219"/>
      <c r="AH129" s="219"/>
      <c r="AI129" s="219"/>
      <c r="AJ129" s="219"/>
      <c r="AK129" s="219"/>
      <c r="AL129" s="219"/>
      <c r="AM129" s="219"/>
      <c r="AN129" s="219"/>
      <c r="AO129" s="219"/>
      <c r="AP129" s="219"/>
      <c r="AQ129" s="219"/>
      <c r="AR129" s="219"/>
    </row>
    <row r="130" spans="1:44" x14ac:dyDescent="0.35">
      <c r="A130" s="236"/>
      <c r="B130" s="236"/>
      <c r="C130" s="236"/>
      <c r="D130" s="200"/>
      <c r="E130" s="236"/>
      <c r="F130" s="236"/>
      <c r="G130" s="236"/>
      <c r="H130" s="236"/>
      <c r="I130" s="236"/>
      <c r="J130" s="236"/>
      <c r="K130" s="236"/>
      <c r="L130" s="236"/>
      <c r="M130" s="236"/>
      <c r="N130" s="236"/>
      <c r="O130" s="236"/>
      <c r="P130" s="236"/>
      <c r="Q130" s="236"/>
      <c r="R130" s="236"/>
      <c r="S130" s="218"/>
      <c r="T130" s="218"/>
      <c r="U130" s="218"/>
      <c r="V130" s="218"/>
      <c r="W130" s="218"/>
      <c r="X130" s="218"/>
      <c r="Y130" s="218"/>
      <c r="Z130" s="218"/>
      <c r="AA130" s="218"/>
      <c r="AB130" s="218"/>
      <c r="AC130" s="218"/>
      <c r="AD130" s="218"/>
      <c r="AE130" s="219"/>
      <c r="AF130" s="219"/>
      <c r="AG130" s="219"/>
      <c r="AH130" s="219"/>
      <c r="AI130" s="219"/>
      <c r="AJ130" s="219"/>
      <c r="AK130" s="219"/>
      <c r="AL130" s="219"/>
      <c r="AM130" s="219"/>
      <c r="AN130" s="219"/>
      <c r="AO130" s="219"/>
      <c r="AP130" s="219"/>
      <c r="AQ130" s="219"/>
      <c r="AR130" s="219"/>
    </row>
    <row r="131" spans="1:44" x14ac:dyDescent="0.35">
      <c r="A131" s="236"/>
      <c r="B131" s="236"/>
      <c r="C131" s="236"/>
      <c r="D131" s="200"/>
      <c r="E131" s="236"/>
      <c r="F131" s="236"/>
      <c r="G131" s="236"/>
      <c r="H131" s="236"/>
      <c r="I131" s="236"/>
      <c r="J131" s="236"/>
      <c r="K131" s="236"/>
      <c r="L131" s="236"/>
      <c r="M131" s="236"/>
      <c r="N131" s="236"/>
      <c r="O131" s="236"/>
      <c r="P131" s="236"/>
      <c r="Q131" s="236"/>
      <c r="R131" s="236"/>
      <c r="S131" s="218"/>
      <c r="T131" s="218"/>
      <c r="U131" s="218"/>
      <c r="V131" s="218"/>
      <c r="W131" s="218"/>
      <c r="X131" s="218"/>
      <c r="Y131" s="218"/>
      <c r="Z131" s="218"/>
      <c r="AA131" s="218"/>
      <c r="AB131" s="218"/>
      <c r="AC131" s="218"/>
      <c r="AD131" s="218"/>
      <c r="AE131" s="219"/>
      <c r="AF131" s="219"/>
      <c r="AG131" s="219"/>
      <c r="AH131" s="219"/>
      <c r="AI131" s="219"/>
      <c r="AJ131" s="219"/>
      <c r="AK131" s="219"/>
      <c r="AL131" s="219"/>
      <c r="AM131" s="219"/>
      <c r="AN131" s="219"/>
      <c r="AO131" s="219"/>
      <c r="AP131" s="219"/>
      <c r="AQ131" s="219"/>
      <c r="AR131" s="219"/>
    </row>
    <row r="132" spans="1:44" x14ac:dyDescent="0.35">
      <c r="A132" s="236"/>
      <c r="B132" s="236"/>
      <c r="C132" s="236"/>
      <c r="D132" s="200"/>
      <c r="E132" s="236"/>
      <c r="F132" s="236"/>
      <c r="G132" s="236"/>
      <c r="H132" s="236"/>
      <c r="I132" s="236"/>
      <c r="J132" s="236"/>
      <c r="K132" s="236"/>
      <c r="L132" s="236"/>
      <c r="M132" s="236"/>
      <c r="N132" s="236"/>
      <c r="O132" s="236"/>
      <c r="P132" s="236"/>
      <c r="Q132" s="236"/>
      <c r="R132" s="236"/>
      <c r="S132" s="218"/>
      <c r="T132" s="218"/>
      <c r="U132" s="218"/>
      <c r="V132" s="218"/>
      <c r="W132" s="218"/>
      <c r="X132" s="218"/>
      <c r="Y132" s="218"/>
      <c r="Z132" s="218"/>
      <c r="AA132" s="218"/>
      <c r="AB132" s="218"/>
      <c r="AC132" s="218"/>
      <c r="AD132" s="218"/>
      <c r="AE132" s="219"/>
      <c r="AF132" s="219"/>
      <c r="AG132" s="219"/>
      <c r="AH132" s="219"/>
      <c r="AI132" s="219"/>
      <c r="AJ132" s="219"/>
      <c r="AK132" s="219"/>
      <c r="AL132" s="219"/>
      <c r="AM132" s="219"/>
      <c r="AN132" s="219"/>
      <c r="AO132" s="219"/>
      <c r="AP132" s="219"/>
      <c r="AQ132" s="219"/>
      <c r="AR132" s="219"/>
    </row>
    <row r="133" spans="1:44" x14ac:dyDescent="0.35">
      <c r="A133" s="236"/>
      <c r="B133" s="236"/>
      <c r="C133" s="236"/>
      <c r="D133" s="200"/>
      <c r="E133" s="236"/>
      <c r="F133" s="236"/>
      <c r="G133" s="236"/>
      <c r="H133" s="236"/>
      <c r="I133" s="236"/>
      <c r="J133" s="236"/>
      <c r="K133" s="236"/>
      <c r="L133" s="236"/>
      <c r="M133" s="236"/>
      <c r="N133" s="236"/>
      <c r="O133" s="236"/>
      <c r="P133" s="236"/>
      <c r="Q133" s="236"/>
      <c r="R133" s="236"/>
      <c r="S133" s="218"/>
      <c r="T133" s="218"/>
      <c r="U133" s="218"/>
      <c r="V133" s="218"/>
      <c r="W133" s="218"/>
      <c r="X133" s="218"/>
      <c r="Y133" s="218"/>
      <c r="Z133" s="218"/>
      <c r="AA133" s="218"/>
      <c r="AB133" s="218"/>
      <c r="AC133" s="218"/>
      <c r="AD133" s="218"/>
      <c r="AE133" s="219"/>
      <c r="AF133" s="219"/>
      <c r="AG133" s="219"/>
      <c r="AH133" s="219"/>
      <c r="AI133" s="219"/>
      <c r="AJ133" s="219"/>
      <c r="AK133" s="219"/>
      <c r="AL133" s="219"/>
      <c r="AM133" s="219"/>
      <c r="AN133" s="219"/>
      <c r="AO133" s="219"/>
      <c r="AP133" s="219"/>
      <c r="AQ133" s="219"/>
      <c r="AR133" s="219"/>
    </row>
    <row r="134" spans="1:44" x14ac:dyDescent="0.35">
      <c r="A134" s="236"/>
      <c r="B134" s="236"/>
      <c r="C134" s="236"/>
      <c r="D134" s="200"/>
      <c r="E134" s="236"/>
      <c r="F134" s="236"/>
      <c r="G134" s="236"/>
      <c r="H134" s="236"/>
      <c r="I134" s="236"/>
      <c r="J134" s="236"/>
      <c r="K134" s="236"/>
      <c r="L134" s="236"/>
      <c r="M134" s="236"/>
      <c r="N134" s="236"/>
      <c r="O134" s="236"/>
      <c r="P134" s="236"/>
      <c r="Q134" s="236"/>
      <c r="R134" s="236"/>
      <c r="S134" s="218"/>
      <c r="T134" s="218"/>
      <c r="U134" s="218"/>
      <c r="V134" s="218"/>
      <c r="W134" s="218"/>
      <c r="X134" s="218"/>
      <c r="Y134" s="218"/>
      <c r="Z134" s="218"/>
      <c r="AA134" s="218"/>
      <c r="AB134" s="218"/>
      <c r="AC134" s="218"/>
      <c r="AD134" s="218"/>
      <c r="AE134" s="219"/>
      <c r="AF134" s="219"/>
      <c r="AG134" s="219"/>
      <c r="AH134" s="219"/>
      <c r="AI134" s="219"/>
      <c r="AJ134" s="219"/>
      <c r="AK134" s="219"/>
      <c r="AL134" s="219"/>
      <c r="AM134" s="219"/>
      <c r="AN134" s="219"/>
      <c r="AO134" s="219"/>
      <c r="AP134" s="219"/>
      <c r="AQ134" s="219"/>
      <c r="AR134" s="219"/>
    </row>
    <row r="135" spans="1:44" x14ac:dyDescent="0.35">
      <c r="A135" s="236"/>
      <c r="B135" s="236"/>
      <c r="C135" s="236"/>
      <c r="D135" s="200"/>
      <c r="E135" s="236"/>
      <c r="F135" s="236"/>
      <c r="G135" s="236"/>
      <c r="H135" s="236"/>
      <c r="I135" s="236"/>
      <c r="J135" s="236"/>
      <c r="K135" s="236"/>
      <c r="L135" s="236"/>
      <c r="M135" s="236"/>
      <c r="N135" s="236"/>
      <c r="O135" s="236"/>
      <c r="P135" s="236"/>
      <c r="Q135" s="236"/>
      <c r="R135" s="236"/>
      <c r="S135" s="218"/>
      <c r="T135" s="218"/>
      <c r="U135" s="218"/>
      <c r="V135" s="218"/>
      <c r="W135" s="218"/>
      <c r="X135" s="218"/>
      <c r="Y135" s="218"/>
      <c r="Z135" s="218"/>
      <c r="AA135" s="218"/>
      <c r="AB135" s="218"/>
      <c r="AC135" s="218"/>
      <c r="AD135" s="218"/>
      <c r="AE135" s="219"/>
      <c r="AF135" s="219"/>
      <c r="AG135" s="219"/>
      <c r="AH135" s="219"/>
      <c r="AI135" s="219"/>
      <c r="AJ135" s="219"/>
      <c r="AK135" s="219"/>
      <c r="AL135" s="219"/>
      <c r="AM135" s="219"/>
      <c r="AN135" s="219"/>
      <c r="AO135" s="219"/>
      <c r="AP135" s="219"/>
      <c r="AQ135" s="219"/>
      <c r="AR135" s="219"/>
    </row>
    <row r="136" spans="1:44" x14ac:dyDescent="0.35">
      <c r="A136" s="236"/>
      <c r="B136" s="236"/>
      <c r="C136" s="236"/>
      <c r="D136" s="200"/>
      <c r="E136" s="236"/>
      <c r="F136" s="236"/>
      <c r="G136" s="236"/>
      <c r="H136" s="236"/>
      <c r="I136" s="236"/>
      <c r="J136" s="236"/>
      <c r="K136" s="236"/>
      <c r="L136" s="236"/>
      <c r="M136" s="236"/>
      <c r="N136" s="236"/>
      <c r="O136" s="236"/>
      <c r="P136" s="236"/>
      <c r="Q136" s="236"/>
      <c r="R136" s="236"/>
      <c r="S136" s="218"/>
      <c r="T136" s="218"/>
      <c r="U136" s="218"/>
      <c r="V136" s="218"/>
      <c r="W136" s="218"/>
      <c r="X136" s="218"/>
      <c r="Y136" s="218"/>
      <c r="Z136" s="218"/>
      <c r="AA136" s="218"/>
      <c r="AB136" s="218"/>
      <c r="AC136" s="218"/>
      <c r="AD136" s="218"/>
      <c r="AE136" s="219"/>
      <c r="AF136" s="219"/>
      <c r="AG136" s="219"/>
      <c r="AH136" s="219"/>
      <c r="AI136" s="219"/>
      <c r="AJ136" s="219"/>
      <c r="AK136" s="219"/>
      <c r="AL136" s="219"/>
      <c r="AM136" s="219"/>
      <c r="AN136" s="219"/>
      <c r="AO136" s="219"/>
      <c r="AP136" s="219"/>
      <c r="AQ136" s="219"/>
      <c r="AR136" s="219"/>
    </row>
    <row r="137" spans="1:44" x14ac:dyDescent="0.35">
      <c r="A137" s="236"/>
      <c r="B137" s="236"/>
      <c r="C137" s="236"/>
      <c r="D137" s="200"/>
      <c r="E137" s="236"/>
      <c r="F137" s="236"/>
      <c r="G137" s="236"/>
      <c r="H137" s="236"/>
      <c r="I137" s="236"/>
      <c r="J137" s="236"/>
      <c r="K137" s="236"/>
      <c r="L137" s="236"/>
      <c r="M137" s="236"/>
      <c r="N137" s="236"/>
      <c r="O137" s="236"/>
      <c r="P137" s="236"/>
      <c r="Q137" s="236"/>
      <c r="R137" s="236"/>
      <c r="S137" s="218"/>
      <c r="T137" s="218"/>
      <c r="U137" s="218"/>
      <c r="V137" s="218"/>
      <c r="W137" s="218"/>
      <c r="X137" s="218"/>
      <c r="Y137" s="218"/>
      <c r="Z137" s="218"/>
      <c r="AA137" s="218"/>
      <c r="AB137" s="218"/>
      <c r="AC137" s="218"/>
      <c r="AD137" s="218"/>
      <c r="AE137" s="219"/>
      <c r="AF137" s="219"/>
      <c r="AG137" s="219"/>
      <c r="AH137" s="219"/>
      <c r="AI137" s="219"/>
      <c r="AJ137" s="219"/>
      <c r="AK137" s="219"/>
      <c r="AL137" s="219"/>
      <c r="AM137" s="219"/>
      <c r="AN137" s="219"/>
      <c r="AO137" s="219"/>
      <c r="AP137" s="219"/>
      <c r="AQ137" s="219"/>
      <c r="AR137" s="219"/>
    </row>
    <row r="138" spans="1:44" x14ac:dyDescent="0.35">
      <c r="A138" s="236"/>
      <c r="B138" s="236"/>
      <c r="C138" s="236"/>
      <c r="D138" s="200"/>
      <c r="E138" s="236"/>
      <c r="F138" s="236"/>
      <c r="G138" s="236"/>
      <c r="H138" s="236"/>
      <c r="I138" s="236"/>
      <c r="J138" s="236"/>
      <c r="K138" s="236"/>
      <c r="L138" s="236"/>
      <c r="M138" s="236"/>
      <c r="N138" s="236"/>
      <c r="O138" s="236"/>
      <c r="P138" s="236"/>
      <c r="Q138" s="236"/>
      <c r="R138" s="236"/>
      <c r="S138" s="218"/>
      <c r="T138" s="218"/>
      <c r="U138" s="218"/>
      <c r="V138" s="218"/>
      <c r="W138" s="218"/>
      <c r="X138" s="218"/>
      <c r="Y138" s="218"/>
      <c r="Z138" s="218"/>
      <c r="AA138" s="218"/>
      <c r="AB138" s="218"/>
      <c r="AC138" s="218"/>
      <c r="AD138" s="218"/>
      <c r="AE138" s="219"/>
      <c r="AF138" s="219"/>
      <c r="AG138" s="219"/>
      <c r="AH138" s="219"/>
      <c r="AI138" s="219"/>
      <c r="AJ138" s="219"/>
      <c r="AK138" s="219"/>
      <c r="AL138" s="219"/>
      <c r="AM138" s="219"/>
      <c r="AN138" s="219"/>
      <c r="AO138" s="219"/>
      <c r="AP138" s="219"/>
      <c r="AQ138" s="219"/>
      <c r="AR138" s="219"/>
    </row>
    <row r="139" spans="1:44" x14ac:dyDescent="0.35">
      <c r="A139" s="236"/>
      <c r="B139" s="236"/>
      <c r="C139" s="236"/>
      <c r="D139" s="200"/>
      <c r="E139" s="236"/>
      <c r="F139" s="236"/>
      <c r="G139" s="236"/>
      <c r="H139" s="236"/>
      <c r="I139" s="236"/>
      <c r="J139" s="236"/>
      <c r="K139" s="236"/>
      <c r="L139" s="236"/>
      <c r="M139" s="236"/>
      <c r="N139" s="236"/>
      <c r="O139" s="236"/>
      <c r="P139" s="236"/>
      <c r="Q139" s="236"/>
      <c r="R139" s="236"/>
      <c r="S139" s="218"/>
      <c r="T139" s="218"/>
      <c r="U139" s="218"/>
      <c r="V139" s="218"/>
      <c r="W139" s="218"/>
      <c r="X139" s="218"/>
      <c r="Y139" s="218"/>
      <c r="Z139" s="218"/>
      <c r="AA139" s="218"/>
      <c r="AB139" s="218"/>
      <c r="AC139" s="218"/>
      <c r="AD139" s="218"/>
      <c r="AE139" s="219"/>
      <c r="AF139" s="219"/>
      <c r="AG139" s="219"/>
      <c r="AH139" s="219"/>
      <c r="AI139" s="219"/>
      <c r="AJ139" s="219"/>
      <c r="AK139" s="219"/>
      <c r="AL139" s="219"/>
      <c r="AM139" s="219"/>
      <c r="AN139" s="219"/>
      <c r="AO139" s="219"/>
      <c r="AP139" s="219"/>
      <c r="AQ139" s="219"/>
      <c r="AR139" s="219"/>
    </row>
    <row r="140" spans="1:44" x14ac:dyDescent="0.35">
      <c r="A140" s="236"/>
      <c r="B140" s="236"/>
      <c r="C140" s="236"/>
      <c r="D140" s="200"/>
      <c r="E140" s="236"/>
      <c r="F140" s="236"/>
      <c r="G140" s="236"/>
      <c r="H140" s="236"/>
      <c r="I140" s="236"/>
      <c r="J140" s="236"/>
      <c r="K140" s="236"/>
      <c r="L140" s="236"/>
      <c r="M140" s="236"/>
      <c r="N140" s="236"/>
      <c r="O140" s="236"/>
      <c r="P140" s="236"/>
      <c r="Q140" s="236"/>
      <c r="R140" s="236"/>
      <c r="S140" s="218"/>
      <c r="T140" s="218"/>
      <c r="U140" s="218"/>
      <c r="V140" s="218"/>
      <c r="W140" s="218"/>
      <c r="X140" s="218"/>
      <c r="Y140" s="218"/>
      <c r="Z140" s="218"/>
      <c r="AA140" s="218"/>
      <c r="AB140" s="218"/>
      <c r="AC140" s="218"/>
      <c r="AD140" s="218"/>
      <c r="AE140" s="219"/>
      <c r="AF140" s="219"/>
      <c r="AG140" s="219"/>
      <c r="AH140" s="219"/>
      <c r="AI140" s="219"/>
      <c r="AJ140" s="219"/>
      <c r="AK140" s="219"/>
      <c r="AL140" s="219"/>
      <c r="AM140" s="219"/>
      <c r="AN140" s="219"/>
      <c r="AO140" s="219"/>
      <c r="AP140" s="219"/>
      <c r="AQ140" s="219"/>
      <c r="AR140" s="219"/>
    </row>
    <row r="141" spans="1:44" x14ac:dyDescent="0.35">
      <c r="A141" s="236"/>
      <c r="B141" s="236"/>
      <c r="C141" s="236"/>
      <c r="D141" s="200"/>
      <c r="E141" s="236"/>
      <c r="F141" s="236"/>
      <c r="G141" s="236"/>
      <c r="H141" s="236"/>
      <c r="I141" s="236"/>
      <c r="J141" s="236"/>
      <c r="K141" s="236"/>
      <c r="L141" s="236"/>
      <c r="M141" s="236"/>
      <c r="N141" s="236"/>
      <c r="O141" s="236"/>
      <c r="P141" s="236"/>
      <c r="Q141" s="236"/>
      <c r="R141" s="236"/>
      <c r="S141" s="218"/>
      <c r="T141" s="218"/>
      <c r="U141" s="218"/>
      <c r="V141" s="218"/>
      <c r="W141" s="218"/>
      <c r="X141" s="218"/>
      <c r="Y141" s="218"/>
      <c r="Z141" s="218"/>
      <c r="AA141" s="218"/>
      <c r="AB141" s="218"/>
      <c r="AC141" s="218"/>
      <c r="AD141" s="218"/>
      <c r="AE141" s="219"/>
      <c r="AF141" s="219"/>
      <c r="AG141" s="219"/>
      <c r="AH141" s="219"/>
      <c r="AI141" s="219"/>
      <c r="AJ141" s="219"/>
      <c r="AK141" s="219"/>
      <c r="AL141" s="219"/>
      <c r="AM141" s="219"/>
      <c r="AN141" s="219"/>
      <c r="AO141" s="219"/>
      <c r="AP141" s="219"/>
      <c r="AQ141" s="219"/>
      <c r="AR141" s="219"/>
    </row>
    <row r="142" spans="1:44" x14ac:dyDescent="0.35">
      <c r="A142" s="236"/>
      <c r="B142" s="236"/>
      <c r="C142" s="236"/>
      <c r="D142" s="200"/>
      <c r="E142" s="236"/>
      <c r="F142" s="236"/>
      <c r="G142" s="236"/>
      <c r="H142" s="236"/>
      <c r="I142" s="236"/>
      <c r="J142" s="236"/>
      <c r="K142" s="236"/>
      <c r="L142" s="236"/>
      <c r="M142" s="236"/>
      <c r="N142" s="236"/>
      <c r="O142" s="236"/>
      <c r="P142" s="236"/>
      <c r="Q142" s="236"/>
      <c r="R142" s="236"/>
      <c r="S142" s="218"/>
      <c r="T142" s="218"/>
      <c r="U142" s="218"/>
      <c r="V142" s="218"/>
      <c r="W142" s="218"/>
      <c r="X142" s="218"/>
      <c r="Y142" s="218"/>
      <c r="Z142" s="218"/>
      <c r="AA142" s="218"/>
      <c r="AB142" s="218"/>
      <c r="AC142" s="218"/>
      <c r="AD142" s="218"/>
      <c r="AE142" s="219"/>
      <c r="AF142" s="219"/>
      <c r="AG142" s="219"/>
      <c r="AH142" s="219"/>
      <c r="AI142" s="219"/>
      <c r="AJ142" s="219"/>
      <c r="AK142" s="219"/>
      <c r="AL142" s="219"/>
      <c r="AM142" s="219"/>
      <c r="AN142" s="219"/>
      <c r="AO142" s="219"/>
      <c r="AP142" s="219"/>
      <c r="AQ142" s="219"/>
      <c r="AR142" s="219"/>
    </row>
    <row r="143" spans="1:44" x14ac:dyDescent="0.35">
      <c r="A143" s="236"/>
      <c r="B143" s="236"/>
      <c r="C143" s="236"/>
      <c r="D143" s="200"/>
      <c r="E143" s="236"/>
      <c r="F143" s="236"/>
      <c r="G143" s="236"/>
      <c r="H143" s="236"/>
      <c r="I143" s="236"/>
      <c r="J143" s="236"/>
      <c r="K143" s="236"/>
      <c r="L143" s="236"/>
      <c r="M143" s="236"/>
      <c r="N143" s="236"/>
      <c r="O143" s="236"/>
      <c r="P143" s="236"/>
      <c r="Q143" s="236"/>
      <c r="R143" s="236"/>
      <c r="S143" s="218"/>
      <c r="T143" s="218"/>
      <c r="U143" s="218"/>
      <c r="V143" s="218"/>
      <c r="W143" s="218"/>
      <c r="X143" s="218"/>
      <c r="Y143" s="218"/>
      <c r="Z143" s="218"/>
      <c r="AA143" s="218"/>
      <c r="AB143" s="218"/>
      <c r="AC143" s="218"/>
      <c r="AD143" s="218"/>
      <c r="AE143" s="219"/>
      <c r="AF143" s="219"/>
      <c r="AG143" s="219"/>
      <c r="AH143" s="219"/>
      <c r="AI143" s="219"/>
      <c r="AJ143" s="219"/>
      <c r="AK143" s="219"/>
      <c r="AL143" s="219"/>
      <c r="AM143" s="219"/>
      <c r="AN143" s="219"/>
      <c r="AO143" s="219"/>
      <c r="AP143" s="219"/>
      <c r="AQ143" s="219"/>
      <c r="AR143" s="219"/>
    </row>
    <row r="144" spans="1:44" x14ac:dyDescent="0.35">
      <c r="A144" s="236"/>
      <c r="B144" s="236"/>
      <c r="C144" s="236"/>
      <c r="D144" s="200"/>
      <c r="E144" s="236"/>
      <c r="F144" s="236"/>
      <c r="G144" s="236"/>
      <c r="H144" s="236"/>
      <c r="I144" s="236"/>
      <c r="J144" s="236"/>
      <c r="K144" s="236"/>
      <c r="L144" s="236"/>
      <c r="M144" s="236"/>
      <c r="N144" s="236"/>
      <c r="O144" s="236"/>
      <c r="P144" s="236"/>
      <c r="Q144" s="236"/>
      <c r="R144" s="236"/>
      <c r="S144" s="218"/>
      <c r="T144" s="218"/>
      <c r="U144" s="218"/>
      <c r="V144" s="218"/>
      <c r="W144" s="218"/>
      <c r="X144" s="218"/>
      <c r="Y144" s="218"/>
      <c r="Z144" s="218"/>
      <c r="AA144" s="218"/>
      <c r="AB144" s="218"/>
      <c r="AC144" s="218"/>
      <c r="AD144" s="218"/>
      <c r="AE144" s="219"/>
      <c r="AF144" s="219"/>
      <c r="AG144" s="219"/>
      <c r="AH144" s="219"/>
      <c r="AI144" s="219"/>
      <c r="AJ144" s="219"/>
      <c r="AK144" s="219"/>
      <c r="AL144" s="219"/>
      <c r="AM144" s="219"/>
      <c r="AN144" s="219"/>
      <c r="AO144" s="219"/>
      <c r="AP144" s="219"/>
      <c r="AQ144" s="219"/>
      <c r="AR144" s="219"/>
    </row>
    <row r="145" spans="1:44" x14ac:dyDescent="0.35">
      <c r="A145" s="236"/>
      <c r="B145" s="236"/>
      <c r="C145" s="236"/>
      <c r="D145" s="200"/>
      <c r="E145" s="236"/>
      <c r="F145" s="236"/>
      <c r="G145" s="236"/>
      <c r="H145" s="236"/>
      <c r="I145" s="236"/>
      <c r="J145" s="236"/>
      <c r="K145" s="236"/>
      <c r="L145" s="236"/>
      <c r="M145" s="236"/>
      <c r="N145" s="236"/>
      <c r="O145" s="236"/>
      <c r="P145" s="236"/>
      <c r="Q145" s="236"/>
      <c r="R145" s="236"/>
      <c r="S145" s="218"/>
      <c r="T145" s="218"/>
      <c r="U145" s="218"/>
      <c r="V145" s="218"/>
      <c r="W145" s="218"/>
      <c r="X145" s="218"/>
      <c r="Y145" s="218"/>
      <c r="Z145" s="218"/>
      <c r="AA145" s="218"/>
      <c r="AB145" s="218"/>
      <c r="AC145" s="218"/>
      <c r="AD145" s="218"/>
      <c r="AE145" s="219"/>
      <c r="AF145" s="219"/>
      <c r="AG145" s="219"/>
      <c r="AH145" s="219"/>
      <c r="AI145" s="219"/>
      <c r="AJ145" s="219"/>
      <c r="AK145" s="219"/>
      <c r="AL145" s="219"/>
      <c r="AM145" s="219"/>
      <c r="AN145" s="219"/>
      <c r="AO145" s="219"/>
      <c r="AP145" s="219"/>
      <c r="AQ145" s="219"/>
      <c r="AR145" s="219"/>
    </row>
    <row r="146" spans="1:44" x14ac:dyDescent="0.35">
      <c r="A146" s="236"/>
      <c r="B146" s="236"/>
      <c r="C146" s="236"/>
      <c r="D146" s="200"/>
      <c r="E146" s="236"/>
      <c r="F146" s="236"/>
      <c r="G146" s="236"/>
      <c r="H146" s="236"/>
      <c r="I146" s="236"/>
      <c r="J146" s="236"/>
      <c r="K146" s="236"/>
      <c r="L146" s="236"/>
      <c r="M146" s="236"/>
      <c r="N146" s="236"/>
      <c r="O146" s="236"/>
      <c r="P146" s="236"/>
      <c r="Q146" s="236"/>
      <c r="R146" s="236"/>
      <c r="S146" s="218"/>
      <c r="T146" s="218"/>
      <c r="U146" s="218"/>
      <c r="V146" s="218"/>
      <c r="W146" s="218"/>
      <c r="X146" s="218"/>
      <c r="Y146" s="218"/>
      <c r="Z146" s="218"/>
      <c r="AA146" s="218"/>
      <c r="AB146" s="218"/>
      <c r="AC146" s="218"/>
      <c r="AD146" s="218"/>
      <c r="AE146" s="219"/>
      <c r="AF146" s="219"/>
      <c r="AG146" s="219"/>
      <c r="AH146" s="219"/>
      <c r="AI146" s="219"/>
      <c r="AJ146" s="219"/>
      <c r="AK146" s="219"/>
      <c r="AL146" s="219"/>
      <c r="AM146" s="219"/>
      <c r="AN146" s="219"/>
      <c r="AO146" s="219"/>
      <c r="AP146" s="219"/>
      <c r="AQ146" s="219"/>
      <c r="AR146" s="219"/>
    </row>
    <row r="147" spans="1:44" x14ac:dyDescent="0.35">
      <c r="A147" s="236"/>
      <c r="B147" s="236"/>
      <c r="C147" s="236"/>
      <c r="D147" s="200"/>
      <c r="E147" s="236"/>
      <c r="F147" s="236"/>
      <c r="G147" s="236"/>
      <c r="H147" s="236"/>
      <c r="I147" s="236"/>
      <c r="J147" s="236"/>
      <c r="K147" s="236"/>
      <c r="L147" s="236"/>
      <c r="M147" s="236"/>
      <c r="N147" s="236"/>
      <c r="O147" s="236"/>
      <c r="P147" s="236"/>
      <c r="Q147" s="236"/>
      <c r="R147" s="236"/>
      <c r="S147" s="218"/>
      <c r="T147" s="218"/>
      <c r="U147" s="218"/>
      <c r="V147" s="218"/>
      <c r="W147" s="218"/>
      <c r="X147" s="218"/>
      <c r="Y147" s="218"/>
      <c r="Z147" s="218"/>
      <c r="AA147" s="218"/>
      <c r="AB147" s="218"/>
      <c r="AC147" s="218"/>
      <c r="AD147" s="218"/>
      <c r="AE147" s="219"/>
      <c r="AF147" s="219"/>
      <c r="AG147" s="219"/>
      <c r="AH147" s="219"/>
      <c r="AI147" s="219"/>
      <c r="AJ147" s="219"/>
      <c r="AK147" s="219"/>
      <c r="AL147" s="219"/>
      <c r="AM147" s="219"/>
      <c r="AN147" s="219"/>
      <c r="AO147" s="219"/>
      <c r="AP147" s="219"/>
      <c r="AQ147" s="219"/>
      <c r="AR147" s="219"/>
    </row>
    <row r="148" spans="1:44" x14ac:dyDescent="0.35">
      <c r="A148" s="236"/>
      <c r="B148" s="236"/>
      <c r="C148" s="236"/>
      <c r="D148" s="200"/>
      <c r="E148" s="236"/>
      <c r="F148" s="236"/>
      <c r="G148" s="236"/>
      <c r="H148" s="236"/>
      <c r="I148" s="236"/>
      <c r="J148" s="236"/>
      <c r="K148" s="236"/>
      <c r="L148" s="236"/>
      <c r="M148" s="236"/>
      <c r="N148" s="236"/>
      <c r="O148" s="236"/>
      <c r="P148" s="236"/>
      <c r="Q148" s="236"/>
      <c r="R148" s="236"/>
      <c r="S148" s="218"/>
      <c r="T148" s="218"/>
      <c r="U148" s="218"/>
      <c r="V148" s="218"/>
      <c r="W148" s="218"/>
      <c r="X148" s="218"/>
      <c r="Y148" s="218"/>
      <c r="Z148" s="218"/>
      <c r="AA148" s="218"/>
      <c r="AB148" s="218"/>
      <c r="AC148" s="218"/>
      <c r="AD148" s="218"/>
      <c r="AE148" s="219"/>
      <c r="AF148" s="219"/>
      <c r="AG148" s="219"/>
      <c r="AH148" s="219"/>
      <c r="AI148" s="219"/>
      <c r="AJ148" s="219"/>
      <c r="AK148" s="219"/>
      <c r="AL148" s="219"/>
      <c r="AM148" s="219"/>
      <c r="AN148" s="219"/>
      <c r="AO148" s="219"/>
      <c r="AP148" s="219"/>
      <c r="AQ148" s="219"/>
      <c r="AR148" s="219"/>
    </row>
    <row r="149" spans="1:44" x14ac:dyDescent="0.35">
      <c r="A149" s="236"/>
      <c r="B149" s="236"/>
      <c r="C149" s="236"/>
      <c r="D149" s="200"/>
      <c r="E149" s="236"/>
      <c r="F149" s="236"/>
      <c r="G149" s="236"/>
      <c r="H149" s="236"/>
      <c r="I149" s="236"/>
      <c r="J149" s="236"/>
      <c r="K149" s="236"/>
      <c r="L149" s="236"/>
      <c r="M149" s="236"/>
      <c r="N149" s="236"/>
      <c r="O149" s="236"/>
      <c r="P149" s="236"/>
      <c r="Q149" s="236"/>
      <c r="R149" s="236"/>
      <c r="S149" s="218"/>
      <c r="T149" s="218"/>
      <c r="U149" s="218"/>
      <c r="V149" s="218"/>
      <c r="W149" s="218"/>
      <c r="X149" s="218"/>
      <c r="Y149" s="218"/>
      <c r="Z149" s="218"/>
      <c r="AA149" s="218"/>
      <c r="AB149" s="218"/>
      <c r="AC149" s="218"/>
      <c r="AD149" s="218"/>
      <c r="AE149" s="219"/>
      <c r="AF149" s="219"/>
      <c r="AG149" s="219"/>
      <c r="AH149" s="219"/>
      <c r="AI149" s="219"/>
      <c r="AJ149" s="219"/>
      <c r="AK149" s="219"/>
      <c r="AL149" s="219"/>
      <c r="AM149" s="219"/>
      <c r="AN149" s="219"/>
      <c r="AO149" s="219"/>
      <c r="AP149" s="219"/>
      <c r="AQ149" s="219"/>
      <c r="AR149" s="219"/>
    </row>
    <row r="150" spans="1:44" x14ac:dyDescent="0.35">
      <c r="A150" s="236"/>
      <c r="B150" s="236"/>
      <c r="C150" s="236"/>
      <c r="D150" s="200"/>
      <c r="E150" s="236"/>
      <c r="F150" s="236"/>
      <c r="G150" s="236"/>
      <c r="H150" s="236"/>
      <c r="I150" s="236"/>
      <c r="J150" s="236"/>
      <c r="K150" s="236"/>
      <c r="L150" s="236"/>
      <c r="M150" s="236"/>
      <c r="N150" s="236"/>
      <c r="O150" s="236"/>
      <c r="P150" s="236"/>
      <c r="Q150" s="236"/>
      <c r="R150" s="236"/>
      <c r="S150" s="218"/>
      <c r="T150" s="218"/>
      <c r="U150" s="218"/>
      <c r="V150" s="218"/>
      <c r="W150" s="218"/>
      <c r="X150" s="218"/>
      <c r="Y150" s="218"/>
      <c r="Z150" s="218"/>
      <c r="AA150" s="218"/>
      <c r="AB150" s="218"/>
      <c r="AC150" s="218"/>
      <c r="AD150" s="218"/>
      <c r="AE150" s="219"/>
      <c r="AF150" s="219"/>
      <c r="AG150" s="219"/>
      <c r="AH150" s="219"/>
      <c r="AI150" s="219"/>
      <c r="AJ150" s="219"/>
      <c r="AK150" s="219"/>
      <c r="AL150" s="219"/>
      <c r="AM150" s="219"/>
      <c r="AN150" s="219"/>
      <c r="AO150" s="219"/>
      <c r="AP150" s="219"/>
      <c r="AQ150" s="219"/>
      <c r="AR150" s="219"/>
    </row>
    <row r="151" spans="1:44" x14ac:dyDescent="0.35">
      <c r="A151" s="236"/>
      <c r="B151" s="236"/>
      <c r="C151" s="236"/>
      <c r="D151" s="200"/>
      <c r="E151" s="236"/>
      <c r="F151" s="236"/>
      <c r="G151" s="236"/>
      <c r="H151" s="236"/>
      <c r="I151" s="236"/>
      <c r="J151" s="236"/>
      <c r="K151" s="236"/>
      <c r="L151" s="236"/>
      <c r="M151" s="236"/>
      <c r="N151" s="236"/>
      <c r="O151" s="236"/>
      <c r="P151" s="236"/>
      <c r="Q151" s="236"/>
      <c r="R151" s="236"/>
      <c r="S151" s="218"/>
      <c r="T151" s="218"/>
      <c r="U151" s="218"/>
      <c r="V151" s="218"/>
      <c r="W151" s="218"/>
      <c r="X151" s="218"/>
      <c r="Y151" s="218"/>
      <c r="Z151" s="218"/>
      <c r="AA151" s="218"/>
      <c r="AB151" s="218"/>
      <c r="AC151" s="218"/>
      <c r="AD151" s="218"/>
      <c r="AE151" s="219"/>
      <c r="AF151" s="219"/>
      <c r="AG151" s="219"/>
      <c r="AH151" s="219"/>
      <c r="AI151" s="219"/>
      <c r="AJ151" s="219"/>
      <c r="AK151" s="219"/>
      <c r="AL151" s="219"/>
      <c r="AM151" s="219"/>
      <c r="AN151" s="219"/>
      <c r="AO151" s="219"/>
      <c r="AP151" s="219"/>
      <c r="AQ151" s="219"/>
      <c r="AR151" s="219"/>
    </row>
    <row r="152" spans="1:44" x14ac:dyDescent="0.35">
      <c r="A152" s="236"/>
      <c r="B152" s="236"/>
      <c r="C152" s="236"/>
      <c r="D152" s="200"/>
      <c r="E152" s="236"/>
      <c r="F152" s="236"/>
      <c r="G152" s="236"/>
      <c r="H152" s="236"/>
      <c r="I152" s="236"/>
      <c r="J152" s="236"/>
      <c r="K152" s="236"/>
      <c r="L152" s="236"/>
      <c r="M152" s="236"/>
      <c r="N152" s="236"/>
      <c r="O152" s="236"/>
      <c r="P152" s="236"/>
      <c r="Q152" s="236"/>
      <c r="R152" s="236"/>
      <c r="S152" s="218"/>
      <c r="T152" s="218"/>
      <c r="U152" s="218"/>
      <c r="V152" s="218"/>
      <c r="W152" s="218"/>
      <c r="X152" s="218"/>
      <c r="Y152" s="218"/>
      <c r="Z152" s="218"/>
      <c r="AA152" s="218"/>
      <c r="AB152" s="218"/>
      <c r="AC152" s="218"/>
      <c r="AD152" s="218"/>
      <c r="AE152" s="219"/>
      <c r="AF152" s="219"/>
      <c r="AG152" s="219"/>
      <c r="AH152" s="219"/>
      <c r="AI152" s="219"/>
      <c r="AJ152" s="219"/>
      <c r="AK152" s="219"/>
      <c r="AL152" s="219"/>
      <c r="AM152" s="219"/>
      <c r="AN152" s="219"/>
      <c r="AO152" s="219"/>
      <c r="AP152" s="219"/>
      <c r="AQ152" s="219"/>
      <c r="AR152" s="219"/>
    </row>
    <row r="153" spans="1:44" x14ac:dyDescent="0.35">
      <c r="A153" s="236"/>
      <c r="B153" s="236"/>
      <c r="C153" s="236"/>
      <c r="D153" s="200"/>
      <c r="E153" s="236"/>
      <c r="F153" s="236"/>
      <c r="G153" s="236"/>
      <c r="H153" s="236"/>
      <c r="I153" s="236"/>
      <c r="J153" s="236"/>
      <c r="K153" s="236"/>
      <c r="L153" s="236"/>
      <c r="M153" s="236"/>
      <c r="N153" s="236"/>
      <c r="O153" s="236"/>
      <c r="P153" s="236"/>
      <c r="Q153" s="236"/>
      <c r="R153" s="236"/>
      <c r="S153" s="218"/>
      <c r="T153" s="218"/>
      <c r="U153" s="218"/>
      <c r="V153" s="218"/>
      <c r="W153" s="218"/>
      <c r="X153" s="218"/>
      <c r="Y153" s="218"/>
      <c r="Z153" s="218"/>
      <c r="AA153" s="218"/>
      <c r="AB153" s="218"/>
      <c r="AC153" s="218"/>
      <c r="AD153" s="218"/>
      <c r="AE153" s="219"/>
      <c r="AF153" s="219"/>
      <c r="AG153" s="219"/>
      <c r="AH153" s="219"/>
      <c r="AI153" s="219"/>
      <c r="AJ153" s="219"/>
      <c r="AK153" s="219"/>
      <c r="AL153" s="219"/>
      <c r="AM153" s="219"/>
      <c r="AN153" s="219"/>
      <c r="AO153" s="219"/>
      <c r="AP153" s="219"/>
      <c r="AQ153" s="219"/>
      <c r="AR153" s="219"/>
    </row>
    <row r="154" spans="1:44" x14ac:dyDescent="0.35">
      <c r="A154" s="236"/>
      <c r="B154" s="236"/>
      <c r="C154" s="236"/>
      <c r="D154" s="200"/>
      <c r="E154" s="236"/>
      <c r="F154" s="236"/>
      <c r="G154" s="236"/>
      <c r="H154" s="236"/>
      <c r="I154" s="236"/>
      <c r="J154" s="236"/>
      <c r="K154" s="236"/>
      <c r="L154" s="236"/>
      <c r="M154" s="236"/>
      <c r="N154" s="236"/>
      <c r="O154" s="236"/>
      <c r="P154" s="236"/>
      <c r="Q154" s="236"/>
      <c r="R154" s="236"/>
      <c r="S154" s="218"/>
      <c r="T154" s="218"/>
      <c r="U154" s="218"/>
      <c r="V154" s="218"/>
      <c r="W154" s="218"/>
      <c r="X154" s="218"/>
      <c r="Y154" s="218"/>
      <c r="Z154" s="218"/>
      <c r="AA154" s="218"/>
      <c r="AB154" s="218"/>
      <c r="AC154" s="218"/>
      <c r="AD154" s="218"/>
      <c r="AE154" s="219"/>
      <c r="AF154" s="219"/>
      <c r="AG154" s="219"/>
      <c r="AH154" s="219"/>
      <c r="AI154" s="219"/>
      <c r="AJ154" s="219"/>
      <c r="AK154" s="219"/>
      <c r="AL154" s="219"/>
      <c r="AM154" s="219"/>
      <c r="AN154" s="219"/>
      <c r="AO154" s="219"/>
      <c r="AP154" s="219"/>
      <c r="AQ154" s="219"/>
      <c r="AR154" s="219"/>
    </row>
    <row r="155" spans="1:44" x14ac:dyDescent="0.35">
      <c r="A155" s="236"/>
      <c r="B155" s="236"/>
      <c r="C155" s="236"/>
      <c r="D155" s="200"/>
      <c r="E155" s="236"/>
      <c r="F155" s="236"/>
      <c r="G155" s="236"/>
      <c r="H155" s="236"/>
      <c r="I155" s="236"/>
      <c r="J155" s="236"/>
      <c r="K155" s="236"/>
      <c r="L155" s="236"/>
      <c r="M155" s="236"/>
      <c r="N155" s="236"/>
      <c r="O155" s="236"/>
      <c r="P155" s="236"/>
      <c r="Q155" s="236"/>
      <c r="R155" s="236"/>
      <c r="S155" s="218"/>
      <c r="T155" s="218"/>
      <c r="U155" s="218"/>
      <c r="V155" s="218"/>
      <c r="W155" s="218"/>
      <c r="X155" s="218"/>
      <c r="Y155" s="218"/>
      <c r="Z155" s="218"/>
      <c r="AA155" s="218"/>
      <c r="AB155" s="218"/>
      <c r="AC155" s="218"/>
      <c r="AD155" s="218"/>
      <c r="AE155" s="219"/>
      <c r="AF155" s="219"/>
      <c r="AG155" s="219"/>
      <c r="AH155" s="219"/>
      <c r="AI155" s="219"/>
      <c r="AJ155" s="219"/>
      <c r="AK155" s="219"/>
      <c r="AL155" s="219"/>
      <c r="AM155" s="219"/>
      <c r="AN155" s="219"/>
      <c r="AO155" s="219"/>
      <c r="AP155" s="219"/>
      <c r="AQ155" s="219"/>
      <c r="AR155" s="219"/>
    </row>
    <row r="156" spans="1:44" x14ac:dyDescent="0.35">
      <c r="A156" s="236"/>
      <c r="B156" s="236"/>
      <c r="C156" s="236"/>
      <c r="D156" s="200"/>
      <c r="E156" s="236"/>
      <c r="F156" s="236"/>
      <c r="G156" s="236"/>
      <c r="H156" s="236"/>
      <c r="I156" s="236"/>
      <c r="J156" s="236"/>
      <c r="K156" s="236"/>
      <c r="L156" s="236"/>
      <c r="M156" s="236"/>
      <c r="N156" s="236"/>
      <c r="O156" s="236"/>
      <c r="P156" s="236"/>
      <c r="Q156" s="236"/>
      <c r="R156" s="236"/>
      <c r="S156" s="218"/>
      <c r="T156" s="218"/>
      <c r="U156" s="218"/>
      <c r="V156" s="218"/>
      <c r="W156" s="218"/>
      <c r="X156" s="218"/>
      <c r="Y156" s="218"/>
      <c r="Z156" s="218"/>
      <c r="AA156" s="218"/>
      <c r="AB156" s="218"/>
      <c r="AC156" s="218"/>
      <c r="AD156" s="218"/>
      <c r="AE156" s="219"/>
      <c r="AF156" s="219"/>
      <c r="AG156" s="219"/>
      <c r="AH156" s="219"/>
      <c r="AI156" s="219"/>
      <c r="AJ156" s="219"/>
      <c r="AK156" s="219"/>
      <c r="AL156" s="219"/>
      <c r="AM156" s="219"/>
      <c r="AN156" s="219"/>
      <c r="AO156" s="219"/>
      <c r="AP156" s="219"/>
      <c r="AQ156" s="219"/>
      <c r="AR156" s="219"/>
    </row>
    <row r="157" spans="1:44" x14ac:dyDescent="0.35">
      <c r="A157" s="236"/>
      <c r="B157" s="236"/>
      <c r="C157" s="236"/>
      <c r="D157" s="200"/>
      <c r="E157" s="236"/>
      <c r="F157" s="236"/>
      <c r="G157" s="236"/>
      <c r="H157" s="236"/>
      <c r="I157" s="236"/>
      <c r="J157" s="236"/>
      <c r="K157" s="236"/>
      <c r="L157" s="236"/>
      <c r="M157" s="236"/>
      <c r="N157" s="236"/>
      <c r="O157" s="236"/>
      <c r="P157" s="236"/>
      <c r="Q157" s="236"/>
      <c r="R157" s="236"/>
      <c r="S157" s="218"/>
      <c r="T157" s="218"/>
      <c r="U157" s="218"/>
      <c r="V157" s="218"/>
      <c r="W157" s="218"/>
      <c r="X157" s="218"/>
      <c r="Y157" s="218"/>
      <c r="Z157" s="218"/>
      <c r="AA157" s="218"/>
      <c r="AB157" s="218"/>
      <c r="AC157" s="218"/>
      <c r="AD157" s="218"/>
      <c r="AE157" s="219"/>
      <c r="AF157" s="219"/>
      <c r="AG157" s="219"/>
      <c r="AH157" s="219"/>
      <c r="AI157" s="219"/>
      <c r="AJ157" s="219"/>
      <c r="AK157" s="219"/>
      <c r="AL157" s="219"/>
      <c r="AM157" s="219"/>
      <c r="AN157" s="219"/>
      <c r="AO157" s="219"/>
      <c r="AP157" s="219"/>
      <c r="AQ157" s="219"/>
      <c r="AR157" s="219"/>
    </row>
    <row r="158" spans="1:44" x14ac:dyDescent="0.35">
      <c r="A158" s="236"/>
      <c r="B158" s="236"/>
      <c r="C158" s="236"/>
      <c r="D158" s="200"/>
      <c r="E158" s="236"/>
      <c r="F158" s="236"/>
      <c r="G158" s="236"/>
      <c r="H158" s="236"/>
      <c r="I158" s="236"/>
      <c r="J158" s="236"/>
      <c r="K158" s="236"/>
      <c r="L158" s="236"/>
      <c r="M158" s="236"/>
      <c r="N158" s="236"/>
      <c r="O158" s="236"/>
      <c r="P158" s="236"/>
      <c r="Q158" s="236"/>
      <c r="R158" s="236"/>
      <c r="S158" s="218"/>
      <c r="T158" s="218"/>
      <c r="U158" s="218"/>
      <c r="V158" s="218"/>
      <c r="W158" s="218"/>
      <c r="X158" s="218"/>
      <c r="Y158" s="218"/>
      <c r="Z158" s="218"/>
      <c r="AA158" s="218"/>
      <c r="AB158" s="218"/>
      <c r="AC158" s="218"/>
      <c r="AD158" s="218"/>
      <c r="AE158" s="219"/>
      <c r="AF158" s="219"/>
      <c r="AG158" s="219"/>
      <c r="AH158" s="219"/>
      <c r="AI158" s="219"/>
      <c r="AJ158" s="219"/>
      <c r="AK158" s="219"/>
      <c r="AL158" s="219"/>
      <c r="AM158" s="219"/>
      <c r="AN158" s="219"/>
      <c r="AO158" s="219"/>
      <c r="AP158" s="219"/>
      <c r="AQ158" s="219"/>
      <c r="AR158" s="219"/>
    </row>
    <row r="159" spans="1:44" x14ac:dyDescent="0.35">
      <c r="A159" s="236"/>
      <c r="B159" s="236"/>
      <c r="C159" s="236"/>
      <c r="D159" s="200"/>
      <c r="E159" s="236"/>
      <c r="F159" s="236"/>
      <c r="G159" s="236"/>
      <c r="H159" s="236"/>
      <c r="I159" s="236"/>
      <c r="J159" s="236"/>
      <c r="K159" s="236"/>
      <c r="L159" s="236"/>
      <c r="M159" s="236"/>
      <c r="N159" s="236"/>
      <c r="O159" s="236"/>
      <c r="P159" s="236"/>
      <c r="Q159" s="236"/>
      <c r="R159" s="236"/>
      <c r="S159" s="218"/>
      <c r="T159" s="218"/>
      <c r="U159" s="218"/>
      <c r="V159" s="218"/>
      <c r="W159" s="218"/>
      <c r="X159" s="218"/>
      <c r="Y159" s="218"/>
      <c r="Z159" s="218"/>
      <c r="AA159" s="218"/>
      <c r="AB159" s="218"/>
      <c r="AC159" s="218"/>
      <c r="AD159" s="218"/>
      <c r="AE159" s="219"/>
      <c r="AF159" s="219"/>
      <c r="AG159" s="219"/>
      <c r="AH159" s="219"/>
      <c r="AI159" s="219"/>
      <c r="AJ159" s="219"/>
      <c r="AK159" s="219"/>
      <c r="AL159" s="219"/>
      <c r="AM159" s="219"/>
      <c r="AN159" s="219"/>
      <c r="AO159" s="219"/>
      <c r="AP159" s="219"/>
      <c r="AQ159" s="219"/>
      <c r="AR159" s="219"/>
    </row>
    <row r="160" spans="1:44" x14ac:dyDescent="0.35">
      <c r="A160" s="236"/>
      <c r="B160" s="236"/>
      <c r="C160" s="236"/>
      <c r="D160" s="200"/>
      <c r="E160" s="236"/>
      <c r="F160" s="236"/>
      <c r="G160" s="236"/>
      <c r="H160" s="236"/>
      <c r="I160" s="236"/>
      <c r="J160" s="236"/>
      <c r="K160" s="236"/>
      <c r="L160" s="236"/>
      <c r="M160" s="236"/>
      <c r="N160" s="236"/>
      <c r="O160" s="236"/>
      <c r="P160" s="236"/>
      <c r="Q160" s="236"/>
      <c r="R160" s="236"/>
      <c r="S160" s="218"/>
      <c r="T160" s="218"/>
      <c r="U160" s="218"/>
      <c r="V160" s="218"/>
      <c r="W160" s="218"/>
      <c r="X160" s="218"/>
      <c r="Y160" s="218"/>
      <c r="Z160" s="218"/>
      <c r="AA160" s="218"/>
      <c r="AB160" s="218"/>
      <c r="AC160" s="218"/>
      <c r="AD160" s="218"/>
      <c r="AE160" s="219"/>
      <c r="AF160" s="219"/>
      <c r="AG160" s="219"/>
      <c r="AH160" s="219"/>
      <c r="AI160" s="219"/>
      <c r="AJ160" s="219"/>
      <c r="AK160" s="219"/>
      <c r="AL160" s="219"/>
      <c r="AM160" s="219"/>
      <c r="AN160" s="219"/>
      <c r="AO160" s="219"/>
      <c r="AP160" s="219"/>
      <c r="AQ160" s="219"/>
      <c r="AR160" s="219"/>
    </row>
    <row r="161" spans="1:44" x14ac:dyDescent="0.35">
      <c r="A161" s="236"/>
      <c r="B161" s="236"/>
      <c r="C161" s="236"/>
      <c r="D161" s="200"/>
      <c r="E161" s="236"/>
      <c r="F161" s="236"/>
      <c r="G161" s="236"/>
      <c r="H161" s="236"/>
      <c r="I161" s="236"/>
      <c r="J161" s="236"/>
      <c r="K161" s="236"/>
      <c r="L161" s="236"/>
      <c r="M161" s="236"/>
      <c r="N161" s="236"/>
      <c r="O161" s="236"/>
      <c r="P161" s="236"/>
      <c r="Q161" s="236"/>
      <c r="R161" s="236"/>
      <c r="S161" s="218"/>
      <c r="T161" s="218"/>
      <c r="U161" s="218"/>
      <c r="V161" s="218"/>
      <c r="W161" s="218"/>
      <c r="X161" s="218"/>
      <c r="Y161" s="218"/>
      <c r="Z161" s="218"/>
      <c r="AA161" s="218"/>
      <c r="AB161" s="218"/>
      <c r="AC161" s="218"/>
      <c r="AD161" s="218"/>
      <c r="AE161" s="219"/>
      <c r="AF161" s="219"/>
      <c r="AG161" s="219"/>
      <c r="AH161" s="219"/>
      <c r="AI161" s="219"/>
      <c r="AJ161" s="219"/>
      <c r="AK161" s="219"/>
      <c r="AL161" s="219"/>
      <c r="AM161" s="219"/>
      <c r="AN161" s="219"/>
      <c r="AO161" s="219"/>
      <c r="AP161" s="219"/>
      <c r="AQ161" s="219"/>
      <c r="AR161" s="219"/>
    </row>
    <row r="162" spans="1:44" x14ac:dyDescent="0.35">
      <c r="A162" s="236"/>
      <c r="B162" s="236"/>
      <c r="C162" s="236"/>
      <c r="D162" s="200"/>
      <c r="E162" s="236"/>
      <c r="F162" s="236"/>
      <c r="G162" s="236"/>
      <c r="H162" s="236"/>
      <c r="I162" s="236"/>
      <c r="J162" s="236"/>
      <c r="K162" s="236"/>
      <c r="L162" s="236"/>
      <c r="M162" s="236"/>
      <c r="N162" s="236"/>
      <c r="O162" s="236"/>
      <c r="P162" s="236"/>
      <c r="Q162" s="236"/>
      <c r="R162" s="236"/>
      <c r="S162" s="218"/>
      <c r="T162" s="218"/>
      <c r="U162" s="218"/>
      <c r="V162" s="218"/>
      <c r="W162" s="218"/>
      <c r="X162" s="218"/>
      <c r="Y162" s="218"/>
      <c r="Z162" s="218"/>
      <c r="AA162" s="218"/>
      <c r="AB162" s="218"/>
      <c r="AC162" s="218"/>
      <c r="AD162" s="218"/>
      <c r="AE162" s="219"/>
      <c r="AF162" s="219"/>
      <c r="AG162" s="219"/>
      <c r="AH162" s="219"/>
      <c r="AI162" s="219"/>
      <c r="AJ162" s="219"/>
      <c r="AK162" s="219"/>
      <c r="AL162" s="219"/>
      <c r="AM162" s="219"/>
      <c r="AN162" s="219"/>
      <c r="AO162" s="219"/>
      <c r="AP162" s="219"/>
      <c r="AQ162" s="219"/>
      <c r="AR162" s="219"/>
    </row>
    <row r="163" spans="1:44" x14ac:dyDescent="0.35">
      <c r="A163" s="236"/>
      <c r="B163" s="236"/>
      <c r="C163" s="236"/>
      <c r="D163" s="200"/>
      <c r="E163" s="236"/>
      <c r="F163" s="236"/>
      <c r="G163" s="236"/>
      <c r="H163" s="236"/>
      <c r="I163" s="236"/>
      <c r="J163" s="236"/>
      <c r="K163" s="236"/>
      <c r="L163" s="236"/>
      <c r="M163" s="236"/>
      <c r="N163" s="236"/>
      <c r="O163" s="236"/>
      <c r="P163" s="236"/>
      <c r="Q163" s="236"/>
      <c r="R163" s="236"/>
      <c r="S163" s="218"/>
      <c r="T163" s="218"/>
      <c r="U163" s="218"/>
      <c r="V163" s="218"/>
      <c r="W163" s="218"/>
      <c r="X163" s="218"/>
      <c r="Y163" s="218"/>
      <c r="Z163" s="218"/>
      <c r="AA163" s="218"/>
      <c r="AB163" s="218"/>
      <c r="AC163" s="218"/>
      <c r="AD163" s="218"/>
      <c r="AE163" s="219"/>
      <c r="AF163" s="219"/>
      <c r="AG163" s="219"/>
      <c r="AH163" s="219"/>
      <c r="AI163" s="219"/>
      <c r="AJ163" s="219"/>
      <c r="AK163" s="219"/>
      <c r="AL163" s="219"/>
      <c r="AM163" s="219"/>
      <c r="AN163" s="219"/>
      <c r="AO163" s="219"/>
      <c r="AP163" s="219"/>
      <c r="AQ163" s="219"/>
      <c r="AR163" s="219"/>
    </row>
    <row r="164" spans="1:44" x14ac:dyDescent="0.35">
      <c r="A164" s="236"/>
      <c r="B164" s="236"/>
      <c r="C164" s="236"/>
      <c r="D164" s="200"/>
      <c r="E164" s="236"/>
      <c r="F164" s="236"/>
      <c r="G164" s="236"/>
      <c r="H164" s="236"/>
      <c r="I164" s="236"/>
      <c r="J164" s="236"/>
      <c r="K164" s="236"/>
      <c r="L164" s="236"/>
      <c r="M164" s="236"/>
      <c r="N164" s="236"/>
      <c r="O164" s="236"/>
      <c r="P164" s="236"/>
      <c r="Q164" s="236"/>
      <c r="R164" s="236"/>
      <c r="S164" s="218"/>
      <c r="T164" s="218"/>
      <c r="U164" s="218"/>
      <c r="V164" s="218"/>
      <c r="W164" s="218"/>
      <c r="X164" s="218"/>
      <c r="Y164" s="218"/>
      <c r="Z164" s="218"/>
      <c r="AA164" s="218"/>
      <c r="AB164" s="218"/>
      <c r="AC164" s="218"/>
      <c r="AD164" s="218"/>
      <c r="AE164" s="219"/>
      <c r="AF164" s="219"/>
      <c r="AG164" s="219"/>
      <c r="AH164" s="219"/>
      <c r="AI164" s="219"/>
      <c r="AJ164" s="219"/>
      <c r="AK164" s="219"/>
      <c r="AL164" s="219"/>
      <c r="AM164" s="219"/>
      <c r="AN164" s="219"/>
      <c r="AO164" s="219"/>
      <c r="AP164" s="219"/>
      <c r="AQ164" s="219"/>
      <c r="AR164" s="219"/>
    </row>
    <row r="165" spans="1:44" x14ac:dyDescent="0.35">
      <c r="A165" s="236"/>
      <c r="B165" s="236"/>
      <c r="C165" s="236"/>
      <c r="D165" s="200"/>
      <c r="E165" s="236"/>
      <c r="F165" s="236"/>
      <c r="G165" s="236"/>
      <c r="H165" s="236"/>
      <c r="I165" s="236"/>
      <c r="J165" s="236"/>
      <c r="K165" s="236"/>
      <c r="L165" s="236"/>
      <c r="M165" s="236"/>
      <c r="N165" s="236"/>
      <c r="O165" s="236"/>
      <c r="P165" s="236"/>
      <c r="Q165" s="236"/>
      <c r="R165" s="236"/>
      <c r="S165" s="218"/>
      <c r="T165" s="218"/>
      <c r="U165" s="218"/>
      <c r="V165" s="218"/>
      <c r="W165" s="218"/>
      <c r="X165" s="218"/>
      <c r="Y165" s="218"/>
      <c r="Z165" s="218"/>
      <c r="AA165" s="218"/>
      <c r="AB165" s="218"/>
      <c r="AC165" s="218"/>
      <c r="AD165" s="218"/>
      <c r="AE165" s="219"/>
      <c r="AF165" s="219"/>
      <c r="AG165" s="219"/>
      <c r="AH165" s="219"/>
      <c r="AI165" s="219"/>
      <c r="AJ165" s="219"/>
      <c r="AK165" s="219"/>
      <c r="AL165" s="219"/>
      <c r="AM165" s="219"/>
      <c r="AN165" s="219"/>
      <c r="AO165" s="219"/>
      <c r="AP165" s="219"/>
      <c r="AQ165" s="219"/>
      <c r="AR165" s="219"/>
    </row>
    <row r="166" spans="1:44" x14ac:dyDescent="0.35">
      <c r="A166" s="236"/>
      <c r="B166" s="236"/>
      <c r="C166" s="236"/>
      <c r="D166" s="200"/>
      <c r="E166" s="236"/>
      <c r="F166" s="236"/>
      <c r="G166" s="236"/>
      <c r="H166" s="236"/>
      <c r="I166" s="236"/>
      <c r="J166" s="236"/>
      <c r="K166" s="236"/>
      <c r="L166" s="236"/>
      <c r="M166" s="236"/>
      <c r="N166" s="236"/>
      <c r="O166" s="236"/>
      <c r="P166" s="236"/>
      <c r="Q166" s="236"/>
      <c r="R166" s="236"/>
      <c r="S166" s="218"/>
      <c r="T166" s="218"/>
      <c r="U166" s="218"/>
      <c r="V166" s="218"/>
      <c r="W166" s="218"/>
      <c r="X166" s="218"/>
      <c r="Y166" s="218"/>
      <c r="Z166" s="218"/>
      <c r="AA166" s="218"/>
      <c r="AB166" s="218"/>
      <c r="AC166" s="218"/>
      <c r="AD166" s="218"/>
      <c r="AE166" s="219"/>
      <c r="AF166" s="219"/>
      <c r="AG166" s="219"/>
      <c r="AH166" s="219"/>
      <c r="AI166" s="219"/>
      <c r="AJ166" s="219"/>
      <c r="AK166" s="219"/>
      <c r="AL166" s="219"/>
      <c r="AM166" s="219"/>
      <c r="AN166" s="219"/>
      <c r="AO166" s="219"/>
      <c r="AP166" s="219"/>
      <c r="AQ166" s="219"/>
      <c r="AR166" s="219"/>
    </row>
    <row r="167" spans="1:44" x14ac:dyDescent="0.35">
      <c r="A167" s="236"/>
      <c r="B167" s="236"/>
      <c r="C167" s="236"/>
      <c r="D167" s="200"/>
      <c r="E167" s="236"/>
      <c r="F167" s="236"/>
      <c r="G167" s="236"/>
      <c r="H167" s="236"/>
      <c r="I167" s="236"/>
      <c r="J167" s="236"/>
      <c r="K167" s="236"/>
      <c r="L167" s="236"/>
      <c r="M167" s="236"/>
      <c r="N167" s="236"/>
      <c r="O167" s="236"/>
      <c r="P167" s="236"/>
      <c r="Q167" s="236"/>
      <c r="R167" s="236"/>
      <c r="S167" s="218"/>
      <c r="T167" s="218"/>
      <c r="U167" s="218"/>
      <c r="V167" s="218"/>
      <c r="W167" s="218"/>
      <c r="X167" s="218"/>
      <c r="Y167" s="218"/>
      <c r="Z167" s="218"/>
      <c r="AA167" s="218"/>
      <c r="AB167" s="218"/>
      <c r="AC167" s="218"/>
      <c r="AD167" s="218"/>
      <c r="AE167" s="219"/>
      <c r="AF167" s="219"/>
      <c r="AG167" s="219"/>
      <c r="AH167" s="219"/>
      <c r="AI167" s="219"/>
      <c r="AJ167" s="219"/>
      <c r="AK167" s="219"/>
      <c r="AL167" s="219"/>
      <c r="AM167" s="219"/>
      <c r="AN167" s="219"/>
      <c r="AO167" s="219"/>
      <c r="AP167" s="219"/>
      <c r="AQ167" s="219"/>
      <c r="AR167" s="219"/>
    </row>
    <row r="168" spans="1:44" x14ac:dyDescent="0.35">
      <c r="A168" s="236"/>
      <c r="B168" s="236"/>
      <c r="C168" s="236"/>
      <c r="D168" s="200"/>
      <c r="E168" s="236"/>
      <c r="F168" s="236"/>
      <c r="G168" s="236"/>
      <c r="H168" s="236"/>
      <c r="I168" s="236"/>
      <c r="J168" s="236"/>
      <c r="K168" s="236"/>
      <c r="L168" s="236"/>
      <c r="M168" s="236"/>
      <c r="N168" s="236"/>
      <c r="O168" s="236"/>
      <c r="P168" s="236"/>
      <c r="Q168" s="236"/>
      <c r="R168" s="236"/>
      <c r="S168" s="218"/>
      <c r="T168" s="218"/>
      <c r="U168" s="218"/>
      <c r="V168" s="218"/>
      <c r="W168" s="218"/>
      <c r="X168" s="218"/>
      <c r="Y168" s="218"/>
      <c r="Z168" s="218"/>
      <c r="AA168" s="218"/>
      <c r="AB168" s="218"/>
      <c r="AC168" s="218"/>
      <c r="AD168" s="218"/>
      <c r="AE168" s="219"/>
      <c r="AF168" s="219"/>
      <c r="AG168" s="219"/>
      <c r="AH168" s="219"/>
      <c r="AI168" s="219"/>
      <c r="AJ168" s="219"/>
      <c r="AK168" s="219"/>
      <c r="AL168" s="219"/>
      <c r="AM168" s="219"/>
      <c r="AN168" s="219"/>
      <c r="AO168" s="219"/>
      <c r="AP168" s="219"/>
      <c r="AQ168" s="219"/>
      <c r="AR168" s="219"/>
    </row>
    <row r="169" spans="1:44" x14ac:dyDescent="0.35">
      <c r="A169" s="236"/>
      <c r="B169" s="236"/>
      <c r="C169" s="236"/>
      <c r="D169" s="200"/>
      <c r="E169" s="236"/>
      <c r="F169" s="236"/>
      <c r="G169" s="236"/>
      <c r="H169" s="236"/>
      <c r="I169" s="236"/>
      <c r="J169" s="236"/>
      <c r="K169" s="236"/>
      <c r="L169" s="236"/>
      <c r="M169" s="236"/>
      <c r="N169" s="236"/>
      <c r="O169" s="236"/>
      <c r="P169" s="236"/>
      <c r="Q169" s="236"/>
      <c r="R169" s="236"/>
      <c r="S169" s="218"/>
      <c r="T169" s="218"/>
      <c r="U169" s="218"/>
      <c r="V169" s="218"/>
      <c r="W169" s="218"/>
      <c r="X169" s="218"/>
      <c r="Y169" s="218"/>
      <c r="Z169" s="218"/>
      <c r="AA169" s="218"/>
      <c r="AB169" s="218"/>
      <c r="AC169" s="218"/>
      <c r="AD169" s="218"/>
      <c r="AE169" s="219"/>
      <c r="AF169" s="219"/>
      <c r="AG169" s="219"/>
      <c r="AH169" s="219"/>
      <c r="AI169" s="219"/>
      <c r="AJ169" s="219"/>
      <c r="AK169" s="219"/>
      <c r="AL169" s="219"/>
      <c r="AM169" s="219"/>
      <c r="AN169" s="219"/>
      <c r="AO169" s="219"/>
      <c r="AP169" s="219"/>
      <c r="AQ169" s="219"/>
      <c r="AR169" s="219"/>
    </row>
    <row r="170" spans="1:44" x14ac:dyDescent="0.35">
      <c r="A170" s="236"/>
      <c r="B170" s="236"/>
      <c r="C170" s="236"/>
      <c r="D170" s="200"/>
      <c r="E170" s="236"/>
      <c r="F170" s="236"/>
      <c r="G170" s="236"/>
      <c r="H170" s="236"/>
      <c r="I170" s="236"/>
      <c r="J170" s="236"/>
      <c r="K170" s="236"/>
      <c r="L170" s="236"/>
      <c r="M170" s="236"/>
      <c r="N170" s="236"/>
      <c r="O170" s="236"/>
      <c r="P170" s="236"/>
      <c r="Q170" s="236"/>
      <c r="R170" s="236"/>
      <c r="S170" s="218"/>
      <c r="T170" s="218"/>
      <c r="U170" s="218"/>
      <c r="V170" s="218"/>
      <c r="W170" s="218"/>
      <c r="X170" s="218"/>
      <c r="Y170" s="218"/>
      <c r="Z170" s="218"/>
      <c r="AA170" s="218"/>
      <c r="AB170" s="218"/>
      <c r="AC170" s="218"/>
      <c r="AD170" s="218"/>
      <c r="AE170" s="219"/>
      <c r="AF170" s="219"/>
      <c r="AG170" s="219"/>
      <c r="AH170" s="219"/>
      <c r="AI170" s="219"/>
      <c r="AJ170" s="219"/>
      <c r="AK170" s="219"/>
      <c r="AL170" s="219"/>
      <c r="AM170" s="219"/>
      <c r="AN170" s="219"/>
      <c r="AO170" s="219"/>
      <c r="AP170" s="219"/>
      <c r="AQ170" s="219"/>
      <c r="AR170" s="219"/>
    </row>
    <row r="171" spans="1:44" x14ac:dyDescent="0.35">
      <c r="A171" s="236"/>
      <c r="B171" s="236"/>
      <c r="C171" s="236"/>
      <c r="D171" s="200"/>
      <c r="E171" s="236"/>
      <c r="F171" s="236"/>
      <c r="G171" s="236"/>
      <c r="H171" s="236"/>
      <c r="I171" s="236"/>
      <c r="J171" s="236"/>
      <c r="K171" s="236"/>
      <c r="L171" s="236"/>
      <c r="M171" s="236"/>
      <c r="N171" s="236"/>
      <c r="O171" s="236"/>
      <c r="P171" s="236"/>
      <c r="Q171" s="236"/>
      <c r="R171" s="236"/>
      <c r="S171" s="218"/>
      <c r="T171" s="218"/>
      <c r="U171" s="218"/>
      <c r="V171" s="218"/>
      <c r="W171" s="218"/>
      <c r="X171" s="218"/>
      <c r="Y171" s="218"/>
      <c r="Z171" s="218"/>
      <c r="AA171" s="218"/>
      <c r="AB171" s="218"/>
      <c r="AC171" s="218"/>
      <c r="AD171" s="218"/>
      <c r="AE171" s="219"/>
      <c r="AF171" s="219"/>
      <c r="AG171" s="219"/>
      <c r="AH171" s="219"/>
      <c r="AI171" s="219"/>
      <c r="AJ171" s="219"/>
      <c r="AK171" s="219"/>
      <c r="AL171" s="219"/>
      <c r="AM171" s="219"/>
      <c r="AN171" s="219"/>
      <c r="AO171" s="219"/>
      <c r="AP171" s="219"/>
      <c r="AQ171" s="219"/>
      <c r="AR171" s="219"/>
    </row>
    <row r="172" spans="1:44" x14ac:dyDescent="0.35">
      <c r="A172" s="236"/>
      <c r="B172" s="236"/>
      <c r="C172" s="236"/>
      <c r="D172" s="200"/>
      <c r="E172" s="236"/>
      <c r="F172" s="236"/>
      <c r="G172" s="236"/>
      <c r="H172" s="236"/>
      <c r="I172" s="236"/>
      <c r="J172" s="236"/>
      <c r="K172" s="236"/>
      <c r="L172" s="236"/>
      <c r="M172" s="236"/>
      <c r="N172" s="236"/>
      <c r="O172" s="236"/>
      <c r="P172" s="236"/>
      <c r="Q172" s="236"/>
      <c r="R172" s="236"/>
      <c r="S172" s="218"/>
      <c r="T172" s="218"/>
      <c r="U172" s="218"/>
      <c r="V172" s="218"/>
      <c r="W172" s="218"/>
      <c r="X172" s="218"/>
      <c r="Y172" s="218"/>
      <c r="Z172" s="218"/>
      <c r="AA172" s="218"/>
      <c r="AB172" s="218"/>
      <c r="AC172" s="218"/>
      <c r="AD172" s="218"/>
      <c r="AE172" s="219"/>
      <c r="AF172" s="219"/>
      <c r="AG172" s="219"/>
      <c r="AH172" s="219"/>
      <c r="AI172" s="219"/>
      <c r="AJ172" s="219"/>
      <c r="AK172" s="219"/>
      <c r="AL172" s="219"/>
      <c r="AM172" s="219"/>
      <c r="AN172" s="219"/>
      <c r="AO172" s="219"/>
      <c r="AP172" s="219"/>
      <c r="AQ172" s="219"/>
      <c r="AR172" s="219"/>
    </row>
    <row r="173" spans="1:44" x14ac:dyDescent="0.35">
      <c r="A173" s="236"/>
      <c r="B173" s="236"/>
      <c r="C173" s="236"/>
      <c r="D173" s="200"/>
      <c r="E173" s="236"/>
      <c r="F173" s="236"/>
      <c r="G173" s="236"/>
      <c r="H173" s="236"/>
      <c r="I173" s="236"/>
      <c r="J173" s="236"/>
      <c r="K173" s="236"/>
      <c r="L173" s="236"/>
      <c r="M173" s="236"/>
      <c r="N173" s="236"/>
      <c r="O173" s="236"/>
      <c r="P173" s="236"/>
      <c r="Q173" s="236"/>
      <c r="R173" s="236"/>
      <c r="S173" s="218"/>
      <c r="T173" s="218"/>
      <c r="U173" s="218"/>
      <c r="V173" s="218"/>
      <c r="W173" s="218"/>
      <c r="X173" s="218"/>
      <c r="Y173" s="218"/>
      <c r="Z173" s="218"/>
      <c r="AA173" s="218"/>
      <c r="AB173" s="218"/>
      <c r="AC173" s="218"/>
      <c r="AD173" s="218"/>
      <c r="AE173" s="219"/>
      <c r="AF173" s="219"/>
      <c r="AG173" s="219"/>
      <c r="AH173" s="219"/>
      <c r="AI173" s="219"/>
      <c r="AJ173" s="219"/>
      <c r="AK173" s="219"/>
      <c r="AL173" s="219"/>
      <c r="AM173" s="219"/>
      <c r="AN173" s="219"/>
      <c r="AO173" s="219"/>
      <c r="AP173" s="219"/>
      <c r="AQ173" s="219"/>
      <c r="AR173" s="219"/>
    </row>
    <row r="174" spans="1:44" x14ac:dyDescent="0.35">
      <c r="A174" s="236"/>
      <c r="B174" s="236"/>
      <c r="C174" s="236"/>
      <c r="D174" s="200"/>
      <c r="E174" s="236"/>
      <c r="F174" s="236"/>
      <c r="G174" s="236"/>
      <c r="H174" s="236"/>
      <c r="I174" s="236"/>
      <c r="J174" s="236"/>
      <c r="K174" s="236"/>
      <c r="L174" s="236"/>
      <c r="M174" s="236"/>
      <c r="N174" s="236"/>
      <c r="O174" s="236"/>
      <c r="P174" s="236"/>
      <c r="Q174" s="236"/>
      <c r="R174" s="236"/>
      <c r="S174" s="218"/>
      <c r="T174" s="218"/>
      <c r="U174" s="218"/>
      <c r="V174" s="218"/>
      <c r="W174" s="218"/>
      <c r="X174" s="218"/>
      <c r="Y174" s="218"/>
      <c r="Z174" s="218"/>
      <c r="AA174" s="218"/>
      <c r="AB174" s="218"/>
      <c r="AC174" s="218"/>
      <c r="AD174" s="218"/>
      <c r="AE174" s="219"/>
      <c r="AF174" s="219"/>
      <c r="AG174" s="219"/>
      <c r="AH174" s="219"/>
      <c r="AI174" s="219"/>
      <c r="AJ174" s="219"/>
      <c r="AK174" s="219"/>
      <c r="AL174" s="219"/>
      <c r="AM174" s="219"/>
      <c r="AN174" s="219"/>
      <c r="AO174" s="219"/>
      <c r="AP174" s="219"/>
      <c r="AQ174" s="219"/>
      <c r="AR174" s="219"/>
    </row>
    <row r="175" spans="1:44" x14ac:dyDescent="0.35">
      <c r="A175" s="236"/>
      <c r="B175" s="236"/>
      <c r="C175" s="236"/>
      <c r="D175" s="200"/>
      <c r="E175" s="236"/>
      <c r="F175" s="236"/>
      <c r="G175" s="236"/>
      <c r="H175" s="236"/>
      <c r="I175" s="236"/>
      <c r="J175" s="236"/>
      <c r="K175" s="236"/>
      <c r="L175" s="236"/>
      <c r="M175" s="236"/>
      <c r="N175" s="236"/>
      <c r="O175" s="236"/>
      <c r="P175" s="236"/>
      <c r="Q175" s="236"/>
      <c r="R175" s="236"/>
      <c r="S175" s="218"/>
      <c r="T175" s="218"/>
      <c r="U175" s="218"/>
      <c r="V175" s="218"/>
      <c r="W175" s="218"/>
      <c r="X175" s="218"/>
      <c r="Y175" s="218"/>
      <c r="Z175" s="218"/>
      <c r="AA175" s="218"/>
      <c r="AB175" s="218"/>
      <c r="AC175" s="218"/>
      <c r="AD175" s="218"/>
      <c r="AE175" s="219"/>
      <c r="AF175" s="219"/>
      <c r="AG175" s="219"/>
      <c r="AH175" s="219"/>
      <c r="AI175" s="219"/>
      <c r="AJ175" s="219"/>
      <c r="AK175" s="219"/>
      <c r="AL175" s="219"/>
      <c r="AM175" s="219"/>
      <c r="AN175" s="219"/>
      <c r="AO175" s="219"/>
      <c r="AP175" s="219"/>
      <c r="AQ175" s="219"/>
      <c r="AR175" s="219"/>
    </row>
    <row r="176" spans="1:44" x14ac:dyDescent="0.35">
      <c r="A176" s="236"/>
      <c r="B176" s="236"/>
      <c r="C176" s="236"/>
      <c r="D176" s="200"/>
      <c r="E176" s="236"/>
      <c r="F176" s="236"/>
      <c r="G176" s="236"/>
      <c r="H176" s="236"/>
      <c r="I176" s="236"/>
      <c r="J176" s="236"/>
      <c r="K176" s="236"/>
      <c r="L176" s="236"/>
      <c r="M176" s="236"/>
      <c r="N176" s="236"/>
      <c r="O176" s="236"/>
      <c r="P176" s="236"/>
      <c r="Q176" s="236"/>
      <c r="R176" s="236"/>
      <c r="S176" s="218"/>
      <c r="T176" s="218"/>
      <c r="U176" s="218"/>
      <c r="V176" s="218"/>
      <c r="W176" s="218"/>
      <c r="X176" s="218"/>
      <c r="Y176" s="218"/>
      <c r="Z176" s="218"/>
      <c r="AA176" s="218"/>
      <c r="AB176" s="218"/>
      <c r="AC176" s="218"/>
      <c r="AD176" s="218"/>
      <c r="AE176" s="219"/>
      <c r="AF176" s="219"/>
      <c r="AG176" s="219"/>
      <c r="AH176" s="219"/>
      <c r="AI176" s="219"/>
      <c r="AJ176" s="219"/>
      <c r="AK176" s="219"/>
      <c r="AL176" s="219"/>
      <c r="AM176" s="219"/>
      <c r="AN176" s="219"/>
      <c r="AO176" s="219"/>
      <c r="AP176" s="219"/>
      <c r="AQ176" s="219"/>
      <c r="AR176" s="219"/>
    </row>
    <row r="177" spans="1:44" x14ac:dyDescent="0.35">
      <c r="A177" s="236"/>
      <c r="B177" s="236"/>
      <c r="C177" s="236"/>
      <c r="D177" s="200"/>
      <c r="E177" s="236"/>
      <c r="F177" s="236"/>
      <c r="G177" s="236"/>
      <c r="H177" s="236"/>
      <c r="I177" s="236"/>
      <c r="J177" s="236"/>
      <c r="K177" s="236"/>
      <c r="L177" s="236"/>
      <c r="M177" s="236"/>
      <c r="N177" s="236"/>
      <c r="O177" s="236"/>
      <c r="P177" s="236"/>
      <c r="Q177" s="236"/>
      <c r="R177" s="236"/>
      <c r="S177" s="218"/>
      <c r="T177" s="218"/>
      <c r="U177" s="218"/>
      <c r="V177" s="218"/>
      <c r="W177" s="218"/>
      <c r="X177" s="218"/>
      <c r="Y177" s="218"/>
      <c r="Z177" s="218"/>
      <c r="AA177" s="218"/>
      <c r="AB177" s="218"/>
      <c r="AC177" s="218"/>
      <c r="AD177" s="218"/>
      <c r="AE177" s="219"/>
      <c r="AF177" s="219"/>
      <c r="AG177" s="219"/>
      <c r="AH177" s="219"/>
      <c r="AI177" s="219"/>
      <c r="AJ177" s="219"/>
      <c r="AK177" s="219"/>
      <c r="AL177" s="219"/>
      <c r="AM177" s="219"/>
      <c r="AN177" s="219"/>
      <c r="AO177" s="219"/>
      <c r="AP177" s="219"/>
      <c r="AQ177" s="219"/>
      <c r="AR177" s="219"/>
    </row>
    <row r="178" spans="1:44" x14ac:dyDescent="0.35">
      <c r="A178" s="236"/>
      <c r="B178" s="236"/>
      <c r="C178" s="236"/>
      <c r="D178" s="200"/>
      <c r="E178" s="236"/>
      <c r="F178" s="236"/>
      <c r="G178" s="236"/>
      <c r="H178" s="236"/>
      <c r="I178" s="236"/>
      <c r="J178" s="236"/>
      <c r="K178" s="236"/>
      <c r="L178" s="236"/>
      <c r="M178" s="236"/>
      <c r="N178" s="236"/>
      <c r="O178" s="236"/>
      <c r="P178" s="236"/>
      <c r="Q178" s="236"/>
      <c r="R178" s="236"/>
      <c r="S178" s="218"/>
      <c r="T178" s="218"/>
      <c r="U178" s="218"/>
      <c r="V178" s="218"/>
      <c r="W178" s="218"/>
      <c r="X178" s="218"/>
      <c r="Y178" s="218"/>
      <c r="Z178" s="218"/>
      <c r="AA178" s="218"/>
      <c r="AB178" s="218"/>
      <c r="AC178" s="218"/>
      <c r="AD178" s="218"/>
      <c r="AE178" s="219"/>
      <c r="AF178" s="219"/>
      <c r="AG178" s="219"/>
      <c r="AH178" s="219"/>
      <c r="AI178" s="219"/>
      <c r="AJ178" s="219"/>
      <c r="AK178" s="219"/>
      <c r="AL178" s="219"/>
      <c r="AM178" s="219"/>
      <c r="AN178" s="219"/>
      <c r="AO178" s="219"/>
      <c r="AP178" s="219"/>
      <c r="AQ178" s="219"/>
      <c r="AR178" s="219"/>
    </row>
    <row r="179" spans="1:44" x14ac:dyDescent="0.35">
      <c r="A179" s="236"/>
      <c r="B179" s="236"/>
      <c r="C179" s="236"/>
      <c r="D179" s="200"/>
      <c r="E179" s="236"/>
      <c r="F179" s="236"/>
      <c r="G179" s="236"/>
      <c r="H179" s="236"/>
      <c r="I179" s="236"/>
      <c r="J179" s="236"/>
      <c r="K179" s="236"/>
      <c r="L179" s="236"/>
      <c r="M179" s="236"/>
      <c r="N179" s="236"/>
      <c r="O179" s="236"/>
      <c r="P179" s="236"/>
      <c r="Q179" s="236"/>
      <c r="R179" s="236"/>
      <c r="S179" s="218"/>
      <c r="T179" s="218"/>
      <c r="U179" s="218"/>
      <c r="V179" s="218"/>
      <c r="W179" s="218"/>
      <c r="X179" s="218"/>
      <c r="Y179" s="218"/>
      <c r="Z179" s="218"/>
      <c r="AA179" s="218"/>
      <c r="AB179" s="218"/>
      <c r="AC179" s="218"/>
      <c r="AD179" s="218"/>
      <c r="AE179" s="219"/>
      <c r="AF179" s="219"/>
      <c r="AG179" s="219"/>
      <c r="AH179" s="219"/>
      <c r="AI179" s="219"/>
      <c r="AJ179" s="219"/>
      <c r="AK179" s="219"/>
      <c r="AL179" s="219"/>
      <c r="AM179" s="219"/>
      <c r="AN179" s="219"/>
      <c r="AO179" s="219"/>
      <c r="AP179" s="219"/>
      <c r="AQ179" s="219"/>
      <c r="AR179" s="219"/>
    </row>
    <row r="180" spans="1:44" x14ac:dyDescent="0.35">
      <c r="A180" s="236"/>
      <c r="B180" s="236"/>
      <c r="C180" s="236"/>
      <c r="D180" s="200"/>
      <c r="E180" s="236"/>
      <c r="F180" s="236"/>
      <c r="G180" s="236"/>
      <c r="H180" s="236"/>
      <c r="I180" s="236"/>
      <c r="J180" s="236"/>
      <c r="K180" s="236"/>
      <c r="L180" s="236"/>
      <c r="M180" s="236"/>
      <c r="N180" s="236"/>
      <c r="O180" s="236"/>
      <c r="P180" s="236"/>
      <c r="Q180" s="236"/>
      <c r="R180" s="236"/>
      <c r="S180" s="218"/>
      <c r="T180" s="218"/>
      <c r="U180" s="218"/>
      <c r="V180" s="218"/>
      <c r="W180" s="218"/>
      <c r="X180" s="218"/>
      <c r="Y180" s="218"/>
      <c r="Z180" s="218"/>
      <c r="AA180" s="218"/>
      <c r="AB180" s="218"/>
      <c r="AC180" s="218"/>
      <c r="AD180" s="218"/>
      <c r="AE180" s="219"/>
      <c r="AF180" s="219"/>
      <c r="AG180" s="219"/>
      <c r="AH180" s="219"/>
      <c r="AI180" s="219"/>
      <c r="AJ180" s="219"/>
      <c r="AK180" s="219"/>
      <c r="AL180" s="219"/>
      <c r="AM180" s="219"/>
      <c r="AN180" s="219"/>
      <c r="AO180" s="219"/>
      <c r="AP180" s="219"/>
      <c r="AQ180" s="219"/>
      <c r="AR180" s="219"/>
    </row>
    <row r="181" spans="1:44" x14ac:dyDescent="0.35">
      <c r="A181" s="236"/>
      <c r="B181" s="236"/>
      <c r="C181" s="236"/>
      <c r="D181" s="200"/>
      <c r="E181" s="236"/>
      <c r="F181" s="236"/>
      <c r="G181" s="236"/>
      <c r="H181" s="236"/>
      <c r="I181" s="236"/>
      <c r="J181" s="236"/>
      <c r="K181" s="236"/>
      <c r="L181" s="236"/>
      <c r="M181" s="236"/>
      <c r="N181" s="236"/>
      <c r="O181" s="236"/>
      <c r="P181" s="236"/>
      <c r="Q181" s="236"/>
      <c r="R181" s="236"/>
      <c r="S181" s="218"/>
      <c r="T181" s="218"/>
      <c r="U181" s="218"/>
      <c r="V181" s="218"/>
      <c r="W181" s="218"/>
      <c r="X181" s="218"/>
      <c r="Y181" s="218"/>
      <c r="Z181" s="218"/>
      <c r="AA181" s="218"/>
      <c r="AB181" s="218"/>
      <c r="AC181" s="218"/>
      <c r="AD181" s="218"/>
      <c r="AE181" s="219"/>
      <c r="AF181" s="219"/>
      <c r="AG181" s="219"/>
      <c r="AH181" s="219"/>
      <c r="AI181" s="219"/>
      <c r="AJ181" s="219"/>
      <c r="AK181" s="219"/>
      <c r="AL181" s="219"/>
      <c r="AM181" s="219"/>
      <c r="AN181" s="219"/>
      <c r="AO181" s="219"/>
      <c r="AP181" s="219"/>
      <c r="AQ181" s="219"/>
      <c r="AR181" s="219"/>
    </row>
    <row r="182" spans="1:44" x14ac:dyDescent="0.35">
      <c r="A182" s="236"/>
      <c r="B182" s="236"/>
      <c r="C182" s="236"/>
      <c r="D182" s="200"/>
      <c r="E182" s="236"/>
      <c r="F182" s="236"/>
      <c r="G182" s="236"/>
      <c r="H182" s="236"/>
      <c r="I182" s="236"/>
      <c r="J182" s="236"/>
      <c r="K182" s="236"/>
      <c r="L182" s="236"/>
      <c r="M182" s="236"/>
      <c r="N182" s="236"/>
      <c r="O182" s="236"/>
      <c r="P182" s="236"/>
      <c r="Q182" s="236"/>
      <c r="R182" s="236"/>
      <c r="S182" s="218"/>
      <c r="T182" s="218"/>
      <c r="U182" s="218"/>
      <c r="V182" s="218"/>
      <c r="W182" s="218"/>
      <c r="X182" s="218"/>
      <c r="Y182" s="218"/>
      <c r="Z182" s="218"/>
      <c r="AA182" s="218"/>
      <c r="AB182" s="218"/>
      <c r="AC182" s="218"/>
      <c r="AD182" s="218"/>
      <c r="AE182" s="219"/>
      <c r="AF182" s="219"/>
      <c r="AG182" s="219"/>
      <c r="AH182" s="219"/>
      <c r="AI182" s="219"/>
      <c r="AJ182" s="219"/>
      <c r="AK182" s="219"/>
      <c r="AL182" s="219"/>
      <c r="AM182" s="219"/>
      <c r="AN182" s="219"/>
      <c r="AO182" s="219"/>
      <c r="AP182" s="219"/>
      <c r="AQ182" s="219"/>
      <c r="AR182" s="219"/>
    </row>
    <row r="183" spans="1:44" x14ac:dyDescent="0.35">
      <c r="A183" s="236"/>
      <c r="B183" s="236"/>
      <c r="C183" s="236"/>
      <c r="D183" s="200"/>
      <c r="E183" s="236"/>
      <c r="F183" s="236"/>
      <c r="G183" s="236"/>
      <c r="H183" s="236"/>
      <c r="I183" s="236"/>
      <c r="J183" s="236"/>
      <c r="K183" s="236"/>
      <c r="L183" s="236"/>
      <c r="M183" s="236"/>
      <c r="N183" s="236"/>
      <c r="O183" s="236"/>
      <c r="P183" s="236"/>
      <c r="Q183" s="236"/>
      <c r="R183" s="236"/>
      <c r="S183" s="218"/>
      <c r="T183" s="218"/>
      <c r="U183" s="218"/>
      <c r="V183" s="218"/>
      <c r="W183" s="218"/>
      <c r="X183" s="218"/>
      <c r="Y183" s="218"/>
      <c r="Z183" s="218"/>
      <c r="AA183" s="218"/>
      <c r="AB183" s="218"/>
      <c r="AC183" s="218"/>
      <c r="AD183" s="218"/>
      <c r="AE183" s="219"/>
      <c r="AF183" s="219"/>
      <c r="AG183" s="219"/>
      <c r="AH183" s="219"/>
      <c r="AI183" s="219"/>
      <c r="AJ183" s="219"/>
      <c r="AK183" s="219"/>
      <c r="AL183" s="219"/>
      <c r="AM183" s="219"/>
      <c r="AN183" s="219"/>
      <c r="AO183" s="219"/>
      <c r="AP183" s="219"/>
      <c r="AQ183" s="219"/>
      <c r="AR183" s="219"/>
    </row>
    <row r="184" spans="1:44" x14ac:dyDescent="0.35">
      <c r="A184" s="236"/>
      <c r="B184" s="236"/>
      <c r="C184" s="236"/>
      <c r="D184" s="200"/>
      <c r="E184" s="236"/>
      <c r="F184" s="236"/>
      <c r="G184" s="236"/>
      <c r="H184" s="236"/>
      <c r="I184" s="236"/>
      <c r="J184" s="236"/>
      <c r="K184" s="236"/>
      <c r="L184" s="236"/>
      <c r="M184" s="236"/>
      <c r="N184" s="236"/>
      <c r="O184" s="236"/>
      <c r="P184" s="236"/>
      <c r="Q184" s="236"/>
      <c r="R184" s="236"/>
      <c r="S184" s="218"/>
      <c r="T184" s="218"/>
      <c r="U184" s="218"/>
      <c r="V184" s="218"/>
      <c r="W184" s="218"/>
      <c r="X184" s="218"/>
      <c r="Y184" s="218"/>
      <c r="Z184" s="218"/>
      <c r="AA184" s="218"/>
      <c r="AB184" s="218"/>
      <c r="AC184" s="218"/>
      <c r="AD184" s="218"/>
      <c r="AE184" s="219"/>
      <c r="AF184" s="219"/>
      <c r="AG184" s="219"/>
      <c r="AH184" s="219"/>
      <c r="AI184" s="219"/>
      <c r="AJ184" s="219"/>
      <c r="AK184" s="219"/>
      <c r="AL184" s="219"/>
      <c r="AM184" s="219"/>
      <c r="AN184" s="219"/>
      <c r="AO184" s="219"/>
      <c r="AP184" s="219"/>
      <c r="AQ184" s="219"/>
      <c r="AR184" s="219"/>
    </row>
    <row r="185" spans="1:44" x14ac:dyDescent="0.35">
      <c r="A185" s="236"/>
      <c r="B185" s="236"/>
      <c r="C185" s="236"/>
      <c r="D185" s="200"/>
      <c r="E185" s="236"/>
      <c r="F185" s="236"/>
      <c r="G185" s="236"/>
      <c r="H185" s="236"/>
      <c r="I185" s="236"/>
      <c r="J185" s="236"/>
      <c r="K185" s="236"/>
      <c r="L185" s="236"/>
      <c r="M185" s="236"/>
      <c r="N185" s="236"/>
      <c r="O185" s="236"/>
      <c r="P185" s="236"/>
      <c r="Q185" s="236"/>
      <c r="R185" s="236"/>
      <c r="S185" s="218"/>
      <c r="T185" s="218"/>
      <c r="U185" s="218"/>
      <c r="V185" s="218"/>
      <c r="W185" s="218"/>
      <c r="X185" s="218"/>
      <c r="Y185" s="218"/>
      <c r="Z185" s="218"/>
      <c r="AA185" s="218"/>
      <c r="AB185" s="218"/>
      <c r="AC185" s="218"/>
      <c r="AD185" s="218"/>
      <c r="AE185" s="219"/>
      <c r="AF185" s="219"/>
      <c r="AG185" s="219"/>
      <c r="AH185" s="219"/>
      <c r="AI185" s="219"/>
      <c r="AJ185" s="219"/>
      <c r="AK185" s="219"/>
      <c r="AL185" s="219"/>
      <c r="AM185" s="219"/>
      <c r="AN185" s="219"/>
      <c r="AO185" s="219"/>
      <c r="AP185" s="219"/>
      <c r="AQ185" s="219"/>
      <c r="AR185" s="219"/>
    </row>
    <row r="186" spans="1:44" x14ac:dyDescent="0.35">
      <c r="A186" s="236"/>
      <c r="B186" s="236"/>
      <c r="C186" s="236"/>
      <c r="D186" s="200"/>
      <c r="E186" s="236"/>
      <c r="F186" s="236"/>
      <c r="G186" s="236"/>
      <c r="H186" s="236"/>
      <c r="I186" s="236"/>
      <c r="J186" s="236"/>
      <c r="K186" s="236"/>
      <c r="L186" s="236"/>
      <c r="M186" s="236"/>
      <c r="N186" s="236"/>
      <c r="O186" s="236"/>
      <c r="P186" s="236"/>
      <c r="Q186" s="236"/>
      <c r="R186" s="236"/>
      <c r="S186" s="218"/>
      <c r="T186" s="218"/>
      <c r="U186" s="218"/>
      <c r="V186" s="218"/>
      <c r="W186" s="218"/>
      <c r="X186" s="218"/>
      <c r="Y186" s="218"/>
      <c r="Z186" s="218"/>
      <c r="AA186" s="218"/>
      <c r="AB186" s="218"/>
      <c r="AC186" s="218"/>
      <c r="AD186" s="218"/>
      <c r="AE186" s="219"/>
      <c r="AF186" s="219"/>
      <c r="AG186" s="219"/>
      <c r="AH186" s="219"/>
      <c r="AI186" s="219"/>
      <c r="AJ186" s="219"/>
      <c r="AK186" s="219"/>
      <c r="AL186" s="219"/>
      <c r="AM186" s="219"/>
      <c r="AN186" s="219"/>
      <c r="AO186" s="219"/>
      <c r="AP186" s="219"/>
      <c r="AQ186" s="219"/>
      <c r="AR186" s="219"/>
    </row>
    <row r="187" spans="1:44" x14ac:dyDescent="0.35">
      <c r="A187" s="236"/>
      <c r="B187" s="236"/>
      <c r="C187" s="236"/>
      <c r="D187" s="200"/>
      <c r="E187" s="236"/>
      <c r="F187" s="236"/>
      <c r="G187" s="236"/>
      <c r="H187" s="236"/>
      <c r="I187" s="236"/>
      <c r="J187" s="236"/>
      <c r="K187" s="236"/>
      <c r="L187" s="236"/>
      <c r="M187" s="236"/>
      <c r="N187" s="236"/>
      <c r="O187" s="236"/>
      <c r="P187" s="236"/>
      <c r="Q187" s="236"/>
      <c r="R187" s="236"/>
      <c r="S187" s="218"/>
      <c r="T187" s="218"/>
      <c r="U187" s="218"/>
      <c r="V187" s="218"/>
      <c r="W187" s="218"/>
      <c r="X187" s="218"/>
      <c r="Y187" s="218"/>
      <c r="Z187" s="218"/>
      <c r="AA187" s="218"/>
      <c r="AB187" s="218"/>
      <c r="AC187" s="218"/>
      <c r="AD187" s="218"/>
      <c r="AE187" s="219"/>
      <c r="AF187" s="219"/>
      <c r="AG187" s="219"/>
      <c r="AH187" s="219"/>
      <c r="AI187" s="219"/>
      <c r="AJ187" s="219"/>
      <c r="AK187" s="219"/>
      <c r="AL187" s="219"/>
      <c r="AM187" s="219"/>
      <c r="AN187" s="219"/>
      <c r="AO187" s="219"/>
      <c r="AP187" s="219"/>
      <c r="AQ187" s="219"/>
      <c r="AR187" s="219"/>
    </row>
    <row r="188" spans="1:44" x14ac:dyDescent="0.35">
      <c r="A188" s="236"/>
      <c r="B188" s="236"/>
      <c r="C188" s="236"/>
      <c r="D188" s="200"/>
      <c r="E188" s="236"/>
      <c r="F188" s="236"/>
      <c r="G188" s="236"/>
      <c r="H188" s="236"/>
      <c r="I188" s="236"/>
      <c r="J188" s="236"/>
      <c r="K188" s="236"/>
      <c r="L188" s="236"/>
      <c r="M188" s="236"/>
      <c r="N188" s="236"/>
      <c r="O188" s="236"/>
      <c r="P188" s="236"/>
      <c r="Q188" s="236"/>
      <c r="R188" s="236"/>
      <c r="S188" s="218"/>
      <c r="T188" s="218"/>
      <c r="U188" s="218"/>
      <c r="V188" s="218"/>
      <c r="W188" s="218"/>
      <c r="X188" s="218"/>
      <c r="Y188" s="218"/>
      <c r="Z188" s="218"/>
      <c r="AA188" s="218"/>
      <c r="AB188" s="218"/>
      <c r="AC188" s="218"/>
      <c r="AD188" s="218"/>
      <c r="AE188" s="219"/>
      <c r="AF188" s="219"/>
      <c r="AG188" s="219"/>
      <c r="AH188" s="219"/>
      <c r="AI188" s="219"/>
      <c r="AJ188" s="219"/>
      <c r="AK188" s="219"/>
      <c r="AL188" s="219"/>
      <c r="AM188" s="219"/>
      <c r="AN188" s="219"/>
      <c r="AO188" s="219"/>
      <c r="AP188" s="219"/>
      <c r="AQ188" s="219"/>
      <c r="AR188" s="219"/>
    </row>
    <row r="189" spans="1:44" x14ac:dyDescent="0.35">
      <c r="A189" s="236"/>
      <c r="B189" s="236"/>
      <c r="C189" s="236"/>
      <c r="D189" s="200"/>
      <c r="E189" s="236"/>
      <c r="F189" s="236"/>
      <c r="G189" s="236"/>
      <c r="H189" s="236"/>
      <c r="I189" s="236"/>
      <c r="J189" s="236"/>
      <c r="K189" s="236"/>
      <c r="L189" s="236"/>
      <c r="M189" s="236"/>
      <c r="N189" s="236"/>
      <c r="O189" s="236"/>
      <c r="P189" s="236"/>
      <c r="Q189" s="236"/>
      <c r="R189" s="236"/>
      <c r="S189" s="218"/>
      <c r="T189" s="218"/>
      <c r="U189" s="218"/>
      <c r="V189" s="218"/>
      <c r="W189" s="218"/>
      <c r="X189" s="218"/>
      <c r="Y189" s="218"/>
      <c r="Z189" s="218"/>
      <c r="AA189" s="218"/>
      <c r="AB189" s="218"/>
      <c r="AC189" s="218"/>
      <c r="AD189" s="218"/>
      <c r="AE189" s="219"/>
      <c r="AF189" s="219"/>
      <c r="AG189" s="219"/>
      <c r="AH189" s="219"/>
      <c r="AI189" s="219"/>
      <c r="AJ189" s="219"/>
      <c r="AK189" s="219"/>
      <c r="AL189" s="219"/>
      <c r="AM189" s="219"/>
      <c r="AN189" s="219"/>
      <c r="AO189" s="219"/>
      <c r="AP189" s="219"/>
      <c r="AQ189" s="219"/>
      <c r="AR189" s="219"/>
    </row>
    <row r="190" spans="1:44" x14ac:dyDescent="0.35">
      <c r="A190" s="236"/>
      <c r="B190" s="236"/>
      <c r="C190" s="236"/>
      <c r="D190" s="200"/>
      <c r="E190" s="236"/>
      <c r="F190" s="236"/>
      <c r="G190" s="236"/>
      <c r="H190" s="236"/>
      <c r="I190" s="236"/>
      <c r="J190" s="236"/>
      <c r="K190" s="236"/>
      <c r="L190" s="236"/>
      <c r="M190" s="236"/>
      <c r="N190" s="236"/>
      <c r="O190" s="236"/>
      <c r="P190" s="236"/>
      <c r="Q190" s="236"/>
      <c r="R190" s="236"/>
      <c r="S190" s="218"/>
      <c r="T190" s="218"/>
      <c r="U190" s="218"/>
      <c r="V190" s="218"/>
      <c r="W190" s="218"/>
      <c r="X190" s="218"/>
      <c r="Y190" s="218"/>
      <c r="Z190" s="218"/>
      <c r="AA190" s="218"/>
      <c r="AB190" s="218"/>
      <c r="AC190" s="218"/>
      <c r="AD190" s="218"/>
      <c r="AE190" s="219"/>
      <c r="AF190" s="219"/>
      <c r="AG190" s="219"/>
      <c r="AH190" s="219"/>
      <c r="AI190" s="219"/>
      <c r="AJ190" s="219"/>
      <c r="AK190" s="219"/>
      <c r="AL190" s="219"/>
      <c r="AM190" s="219"/>
      <c r="AN190" s="219"/>
      <c r="AO190" s="219"/>
      <c r="AP190" s="219"/>
      <c r="AQ190" s="219"/>
      <c r="AR190" s="219"/>
    </row>
    <row r="191" spans="1:44" x14ac:dyDescent="0.35">
      <c r="A191" s="236"/>
      <c r="B191" s="236"/>
      <c r="C191" s="236"/>
      <c r="D191" s="200"/>
      <c r="E191" s="236"/>
      <c r="F191" s="236"/>
      <c r="G191" s="236"/>
      <c r="H191" s="236"/>
      <c r="I191" s="236"/>
      <c r="J191" s="236"/>
      <c r="K191" s="236"/>
      <c r="L191" s="236"/>
      <c r="M191" s="236"/>
      <c r="N191" s="236"/>
      <c r="O191" s="236"/>
      <c r="P191" s="236"/>
      <c r="Q191" s="236"/>
      <c r="R191" s="236"/>
      <c r="S191" s="218"/>
      <c r="T191" s="218"/>
      <c r="U191" s="218"/>
      <c r="V191" s="218"/>
      <c r="W191" s="218"/>
      <c r="X191" s="218"/>
      <c r="Y191" s="218"/>
      <c r="Z191" s="218"/>
      <c r="AA191" s="218"/>
      <c r="AB191" s="218"/>
      <c r="AC191" s="218"/>
      <c r="AD191" s="218"/>
      <c r="AE191" s="219"/>
      <c r="AF191" s="219"/>
      <c r="AG191" s="219"/>
      <c r="AH191" s="219"/>
      <c r="AI191" s="219"/>
      <c r="AJ191" s="219"/>
      <c r="AK191" s="219"/>
      <c r="AL191" s="219"/>
      <c r="AM191" s="219"/>
      <c r="AN191" s="219"/>
      <c r="AO191" s="219"/>
      <c r="AP191" s="219"/>
      <c r="AQ191" s="219"/>
      <c r="AR191" s="219"/>
    </row>
    <row r="192" spans="1:44" x14ac:dyDescent="0.35">
      <c r="A192" s="236"/>
      <c r="B192" s="236"/>
      <c r="C192" s="236"/>
      <c r="D192" s="200"/>
      <c r="E192" s="236"/>
      <c r="F192" s="236"/>
      <c r="G192" s="236"/>
      <c r="H192" s="236"/>
      <c r="I192" s="236"/>
      <c r="J192" s="236"/>
      <c r="K192" s="236"/>
      <c r="L192" s="236"/>
      <c r="M192" s="236"/>
      <c r="N192" s="236"/>
      <c r="O192" s="236"/>
      <c r="P192" s="236"/>
      <c r="Q192" s="236"/>
      <c r="R192" s="236"/>
      <c r="S192" s="218"/>
      <c r="T192" s="218"/>
      <c r="U192" s="218"/>
      <c r="V192" s="218"/>
      <c r="W192" s="218"/>
      <c r="X192" s="218"/>
      <c r="Y192" s="218"/>
      <c r="Z192" s="218"/>
      <c r="AA192" s="218"/>
      <c r="AB192" s="218"/>
      <c r="AC192" s="218"/>
      <c r="AD192" s="218"/>
      <c r="AE192" s="219"/>
      <c r="AF192" s="219"/>
      <c r="AG192" s="219"/>
      <c r="AH192" s="219"/>
      <c r="AI192" s="219"/>
      <c r="AJ192" s="219"/>
      <c r="AK192" s="219"/>
      <c r="AL192" s="219"/>
      <c r="AM192" s="219"/>
      <c r="AN192" s="219"/>
      <c r="AO192" s="219"/>
      <c r="AP192" s="219"/>
      <c r="AQ192" s="219"/>
      <c r="AR192" s="219"/>
    </row>
    <row r="193" spans="1:44" x14ac:dyDescent="0.35">
      <c r="A193" s="236"/>
      <c r="B193" s="236"/>
      <c r="C193" s="236"/>
      <c r="D193" s="200"/>
      <c r="E193" s="236"/>
      <c r="F193" s="236"/>
      <c r="G193" s="236"/>
      <c r="H193" s="236"/>
      <c r="I193" s="236"/>
      <c r="J193" s="236"/>
      <c r="K193" s="236"/>
      <c r="L193" s="236"/>
      <c r="M193" s="236"/>
      <c r="N193" s="236"/>
      <c r="O193" s="236"/>
      <c r="P193" s="236"/>
      <c r="Q193" s="236"/>
      <c r="R193" s="236"/>
      <c r="S193" s="218"/>
      <c r="T193" s="218"/>
      <c r="U193" s="218"/>
      <c r="V193" s="218"/>
      <c r="W193" s="218"/>
      <c r="X193" s="218"/>
      <c r="Y193" s="218"/>
      <c r="Z193" s="218"/>
      <c r="AA193" s="218"/>
      <c r="AB193" s="218"/>
      <c r="AC193" s="218"/>
      <c r="AD193" s="218"/>
      <c r="AE193" s="219"/>
      <c r="AF193" s="219"/>
      <c r="AG193" s="219"/>
      <c r="AH193" s="219"/>
      <c r="AI193" s="219"/>
      <c r="AJ193" s="219"/>
      <c r="AK193" s="219"/>
      <c r="AL193" s="219"/>
      <c r="AM193" s="219"/>
      <c r="AN193" s="219"/>
      <c r="AO193" s="219"/>
      <c r="AP193" s="219"/>
      <c r="AQ193" s="219"/>
      <c r="AR193" s="219"/>
    </row>
    <row r="194" spans="1:44" x14ac:dyDescent="0.35">
      <c r="A194" s="236"/>
      <c r="B194" s="236"/>
      <c r="C194" s="236"/>
      <c r="D194" s="200"/>
      <c r="E194" s="236"/>
      <c r="F194" s="236"/>
      <c r="G194" s="236"/>
      <c r="H194" s="236"/>
      <c r="I194" s="236"/>
      <c r="J194" s="236"/>
      <c r="K194" s="236"/>
      <c r="L194" s="236"/>
      <c r="M194" s="236"/>
      <c r="N194" s="236"/>
      <c r="O194" s="236"/>
      <c r="P194" s="236"/>
      <c r="Q194" s="236"/>
      <c r="R194" s="236"/>
      <c r="S194" s="218"/>
      <c r="T194" s="218"/>
      <c r="U194" s="218"/>
      <c r="V194" s="218"/>
      <c r="W194" s="218"/>
      <c r="X194" s="218"/>
      <c r="Y194" s="218"/>
      <c r="Z194" s="218"/>
      <c r="AA194" s="218"/>
      <c r="AB194" s="218"/>
      <c r="AC194" s="218"/>
      <c r="AD194" s="218"/>
      <c r="AE194" s="219"/>
      <c r="AF194" s="219"/>
      <c r="AG194" s="219"/>
      <c r="AH194" s="219"/>
      <c r="AI194" s="219"/>
      <c r="AJ194" s="219"/>
      <c r="AK194" s="219"/>
      <c r="AL194" s="219"/>
      <c r="AM194" s="219"/>
      <c r="AN194" s="219"/>
      <c r="AO194" s="219"/>
      <c r="AP194" s="219"/>
      <c r="AQ194" s="219"/>
      <c r="AR194" s="219"/>
    </row>
    <row r="195" spans="1:44" x14ac:dyDescent="0.35">
      <c r="A195" s="236"/>
      <c r="B195" s="236"/>
      <c r="C195" s="236"/>
      <c r="D195" s="200"/>
      <c r="E195" s="236"/>
      <c r="F195" s="236"/>
      <c r="G195" s="236"/>
      <c r="H195" s="236"/>
      <c r="I195" s="236"/>
      <c r="J195" s="236"/>
      <c r="K195" s="236"/>
      <c r="L195" s="236"/>
      <c r="M195" s="236"/>
      <c r="N195" s="236"/>
      <c r="O195" s="236"/>
      <c r="P195" s="236"/>
      <c r="Q195" s="236"/>
      <c r="R195" s="236"/>
      <c r="S195" s="218"/>
      <c r="T195" s="218"/>
      <c r="U195" s="218"/>
      <c r="V195" s="218"/>
      <c r="W195" s="218"/>
      <c r="X195" s="218"/>
      <c r="Y195" s="218"/>
      <c r="Z195" s="218"/>
      <c r="AA195" s="218"/>
      <c r="AB195" s="218"/>
      <c r="AC195" s="218"/>
      <c r="AD195" s="218"/>
      <c r="AE195" s="219"/>
      <c r="AF195" s="219"/>
      <c r="AG195" s="219"/>
      <c r="AH195" s="219"/>
      <c r="AI195" s="219"/>
      <c r="AJ195" s="219"/>
      <c r="AK195" s="219"/>
      <c r="AL195" s="219"/>
      <c r="AM195" s="219"/>
      <c r="AN195" s="219"/>
      <c r="AO195" s="219"/>
      <c r="AP195" s="219"/>
      <c r="AQ195" s="219"/>
      <c r="AR195" s="219"/>
    </row>
    <row r="196" spans="1:44" x14ac:dyDescent="0.35">
      <c r="A196" s="236"/>
      <c r="B196" s="236"/>
      <c r="C196" s="236"/>
      <c r="D196" s="200"/>
      <c r="E196" s="236"/>
      <c r="F196" s="236"/>
      <c r="G196" s="236"/>
      <c r="H196" s="236"/>
      <c r="I196" s="236"/>
      <c r="J196" s="236"/>
      <c r="K196" s="236"/>
      <c r="L196" s="236"/>
      <c r="M196" s="236"/>
      <c r="N196" s="236"/>
      <c r="O196" s="236"/>
      <c r="P196" s="236"/>
      <c r="Q196" s="236"/>
      <c r="R196" s="236"/>
      <c r="S196" s="218"/>
      <c r="T196" s="218"/>
      <c r="U196" s="218"/>
      <c r="V196" s="218"/>
      <c r="W196" s="218"/>
      <c r="X196" s="218"/>
      <c r="Y196" s="218"/>
      <c r="Z196" s="218"/>
      <c r="AA196" s="218"/>
      <c r="AB196" s="218"/>
      <c r="AC196" s="218"/>
      <c r="AD196" s="218"/>
      <c r="AE196" s="219"/>
      <c r="AF196" s="219"/>
      <c r="AG196" s="219"/>
      <c r="AH196" s="219"/>
      <c r="AI196" s="219"/>
      <c r="AJ196" s="219"/>
      <c r="AK196" s="219"/>
      <c r="AL196" s="219"/>
      <c r="AM196" s="219"/>
      <c r="AN196" s="219"/>
      <c r="AO196" s="219"/>
      <c r="AP196" s="219"/>
      <c r="AQ196" s="219"/>
      <c r="AR196" s="219"/>
    </row>
    <row r="197" spans="1:44" x14ac:dyDescent="0.35">
      <c r="A197" s="236"/>
      <c r="B197" s="236"/>
      <c r="C197" s="236"/>
      <c r="D197" s="200"/>
      <c r="E197" s="236"/>
      <c r="F197" s="236"/>
      <c r="G197" s="236"/>
      <c r="H197" s="236"/>
      <c r="I197" s="236"/>
      <c r="J197" s="236"/>
      <c r="K197" s="236"/>
      <c r="L197" s="236"/>
      <c r="M197" s="236"/>
      <c r="N197" s="236"/>
      <c r="O197" s="236"/>
      <c r="P197" s="236"/>
      <c r="Q197" s="236"/>
      <c r="R197" s="236"/>
      <c r="S197" s="218"/>
      <c r="T197" s="218"/>
      <c r="U197" s="218"/>
      <c r="V197" s="218"/>
      <c r="W197" s="218"/>
      <c r="X197" s="218"/>
      <c r="Y197" s="218"/>
      <c r="Z197" s="218"/>
      <c r="AA197" s="218"/>
      <c r="AB197" s="218"/>
      <c r="AC197" s="218"/>
      <c r="AD197" s="218"/>
      <c r="AE197" s="219"/>
      <c r="AF197" s="219"/>
      <c r="AG197" s="219"/>
      <c r="AH197" s="219"/>
      <c r="AI197" s="219"/>
      <c r="AJ197" s="219"/>
      <c r="AK197" s="219"/>
      <c r="AL197" s="219"/>
      <c r="AM197" s="219"/>
      <c r="AN197" s="219"/>
      <c r="AO197" s="219"/>
      <c r="AP197" s="219"/>
      <c r="AQ197" s="219"/>
      <c r="AR197" s="219"/>
    </row>
    <row r="198" spans="1:44" x14ac:dyDescent="0.35">
      <c r="A198" s="236"/>
      <c r="B198" s="236"/>
      <c r="C198" s="236"/>
      <c r="D198" s="200"/>
      <c r="E198" s="236"/>
      <c r="F198" s="236"/>
      <c r="G198" s="236"/>
      <c r="H198" s="236"/>
      <c r="I198" s="236"/>
      <c r="J198" s="236"/>
      <c r="K198" s="236"/>
      <c r="L198" s="236"/>
      <c r="M198" s="236"/>
      <c r="N198" s="236"/>
      <c r="O198" s="236"/>
      <c r="P198" s="236"/>
      <c r="Q198" s="236"/>
      <c r="R198" s="236"/>
      <c r="S198" s="218"/>
      <c r="T198" s="218"/>
      <c r="U198" s="218"/>
      <c r="V198" s="218"/>
      <c r="W198" s="218"/>
      <c r="X198" s="218"/>
      <c r="Y198" s="218"/>
      <c r="Z198" s="218"/>
      <c r="AA198" s="218"/>
      <c r="AB198" s="218"/>
      <c r="AC198" s="218"/>
      <c r="AD198" s="218"/>
      <c r="AE198" s="219"/>
      <c r="AF198" s="219"/>
      <c r="AG198" s="219"/>
      <c r="AH198" s="219"/>
      <c r="AI198" s="219"/>
      <c r="AJ198" s="219"/>
      <c r="AK198" s="219"/>
      <c r="AL198" s="219"/>
      <c r="AM198" s="219"/>
      <c r="AN198" s="219"/>
      <c r="AO198" s="219"/>
      <c r="AP198" s="219"/>
      <c r="AQ198" s="219"/>
      <c r="AR198" s="219"/>
    </row>
    <row r="199" spans="1:44" x14ac:dyDescent="0.35">
      <c r="A199" s="236"/>
      <c r="B199" s="236"/>
      <c r="C199" s="236"/>
      <c r="D199" s="200"/>
      <c r="E199" s="236"/>
      <c r="F199" s="236"/>
      <c r="G199" s="236"/>
      <c r="H199" s="236"/>
      <c r="I199" s="236"/>
      <c r="J199" s="236"/>
      <c r="K199" s="236"/>
      <c r="L199" s="236"/>
      <c r="M199" s="236"/>
      <c r="N199" s="236"/>
      <c r="O199" s="236"/>
      <c r="P199" s="236"/>
      <c r="Q199" s="236"/>
      <c r="R199" s="236"/>
      <c r="S199" s="218"/>
      <c r="T199" s="218"/>
      <c r="U199" s="218"/>
      <c r="V199" s="218"/>
      <c r="W199" s="218"/>
      <c r="X199" s="218"/>
      <c r="Y199" s="218"/>
      <c r="Z199" s="218"/>
      <c r="AA199" s="218"/>
      <c r="AB199" s="218"/>
      <c r="AC199" s="218"/>
      <c r="AD199" s="218"/>
      <c r="AE199" s="219"/>
      <c r="AF199" s="219"/>
      <c r="AG199" s="219"/>
      <c r="AH199" s="219"/>
      <c r="AI199" s="219"/>
      <c r="AJ199" s="219"/>
      <c r="AK199" s="219"/>
      <c r="AL199" s="219"/>
      <c r="AM199" s="219"/>
      <c r="AN199" s="219"/>
      <c r="AO199" s="219"/>
      <c r="AP199" s="219"/>
      <c r="AQ199" s="219"/>
      <c r="AR199" s="219"/>
    </row>
    <row r="200" spans="1:44" x14ac:dyDescent="0.35">
      <c r="A200" s="236"/>
      <c r="B200" s="236"/>
      <c r="C200" s="236"/>
      <c r="D200" s="200"/>
      <c r="E200" s="236"/>
      <c r="F200" s="236"/>
      <c r="G200" s="236"/>
      <c r="H200" s="236"/>
      <c r="I200" s="236"/>
      <c r="J200" s="236"/>
      <c r="K200" s="236"/>
      <c r="L200" s="236"/>
      <c r="M200" s="236"/>
      <c r="N200" s="236"/>
      <c r="O200" s="236"/>
      <c r="P200" s="236"/>
      <c r="Q200" s="236"/>
      <c r="R200" s="236"/>
      <c r="S200" s="218"/>
      <c r="T200" s="218"/>
      <c r="U200" s="218"/>
      <c r="V200" s="218"/>
      <c r="W200" s="218"/>
      <c r="X200" s="218"/>
      <c r="Y200" s="218"/>
      <c r="Z200" s="218"/>
      <c r="AA200" s="218"/>
      <c r="AB200" s="218"/>
      <c r="AC200" s="218"/>
      <c r="AD200" s="218"/>
      <c r="AE200" s="219"/>
      <c r="AF200" s="219"/>
      <c r="AG200" s="219"/>
      <c r="AH200" s="219"/>
      <c r="AI200" s="219"/>
      <c r="AJ200" s="219"/>
      <c r="AK200" s="219"/>
      <c r="AL200" s="219"/>
      <c r="AM200" s="219"/>
      <c r="AN200" s="219"/>
      <c r="AO200" s="219"/>
      <c r="AP200" s="219"/>
      <c r="AQ200" s="219"/>
      <c r="AR200" s="219"/>
    </row>
    <row r="201" spans="1:44" x14ac:dyDescent="0.35">
      <c r="A201" s="236"/>
      <c r="B201" s="236"/>
      <c r="C201" s="236"/>
      <c r="D201" s="200"/>
      <c r="E201" s="236"/>
      <c r="F201" s="236"/>
      <c r="G201" s="236"/>
      <c r="H201" s="236"/>
      <c r="I201" s="236"/>
      <c r="J201" s="236"/>
      <c r="K201" s="236"/>
      <c r="L201" s="236"/>
      <c r="M201" s="236"/>
      <c r="N201" s="236"/>
      <c r="O201" s="236"/>
      <c r="P201" s="236"/>
      <c r="Q201" s="236"/>
      <c r="R201" s="236"/>
      <c r="S201" s="218"/>
      <c r="T201" s="218"/>
      <c r="U201" s="218"/>
      <c r="V201" s="218"/>
      <c r="W201" s="218"/>
      <c r="X201" s="218"/>
      <c r="Y201" s="218"/>
      <c r="Z201" s="218"/>
      <c r="AA201" s="218"/>
      <c r="AB201" s="218"/>
      <c r="AC201" s="218"/>
      <c r="AD201" s="218"/>
      <c r="AE201" s="219"/>
      <c r="AF201" s="219"/>
      <c r="AG201" s="219"/>
      <c r="AH201" s="219"/>
      <c r="AI201" s="219"/>
      <c r="AJ201" s="219"/>
      <c r="AK201" s="219"/>
      <c r="AL201" s="219"/>
      <c r="AM201" s="219"/>
      <c r="AN201" s="219"/>
      <c r="AO201" s="219"/>
      <c r="AP201" s="219"/>
      <c r="AQ201" s="219"/>
      <c r="AR201" s="219"/>
    </row>
    <row r="202" spans="1:44" x14ac:dyDescent="0.35">
      <c r="A202" s="236"/>
      <c r="B202" s="236"/>
      <c r="C202" s="236"/>
      <c r="D202" s="200"/>
      <c r="E202" s="236"/>
      <c r="F202" s="236"/>
      <c r="G202" s="236"/>
      <c r="H202" s="236"/>
      <c r="I202" s="236"/>
      <c r="J202" s="236"/>
      <c r="K202" s="236"/>
      <c r="L202" s="236"/>
      <c r="M202" s="236"/>
      <c r="N202" s="236"/>
      <c r="O202" s="236"/>
      <c r="P202" s="236"/>
      <c r="Q202" s="236"/>
      <c r="R202" s="236"/>
      <c r="S202" s="218"/>
      <c r="T202" s="218"/>
      <c r="U202" s="218"/>
      <c r="V202" s="218"/>
      <c r="W202" s="218"/>
      <c r="X202" s="218"/>
      <c r="Y202" s="218"/>
      <c r="Z202" s="218"/>
      <c r="AA202" s="218"/>
      <c r="AB202" s="218"/>
      <c r="AC202" s="218"/>
      <c r="AD202" s="218"/>
      <c r="AE202" s="219"/>
      <c r="AF202" s="219"/>
      <c r="AG202" s="219"/>
      <c r="AH202" s="219"/>
      <c r="AI202" s="219"/>
      <c r="AJ202" s="219"/>
      <c r="AK202" s="219"/>
      <c r="AL202" s="219"/>
      <c r="AM202" s="219"/>
      <c r="AN202" s="219"/>
      <c r="AO202" s="219"/>
      <c r="AP202" s="219"/>
      <c r="AQ202" s="219"/>
      <c r="AR202" s="219"/>
    </row>
    <row r="203" spans="1:44" x14ac:dyDescent="0.35">
      <c r="A203" s="236"/>
      <c r="B203" s="236"/>
      <c r="C203" s="236"/>
      <c r="D203" s="200"/>
      <c r="E203" s="236"/>
      <c r="F203" s="236"/>
      <c r="G203" s="236"/>
      <c r="H203" s="236"/>
      <c r="I203" s="236"/>
      <c r="J203" s="236"/>
      <c r="K203" s="236"/>
      <c r="L203" s="236"/>
      <c r="M203" s="236"/>
      <c r="N203" s="236"/>
      <c r="O203" s="236"/>
      <c r="P203" s="236"/>
      <c r="Q203" s="236"/>
      <c r="R203" s="236"/>
      <c r="S203" s="218"/>
      <c r="T203" s="218"/>
      <c r="U203" s="218"/>
      <c r="V203" s="218"/>
      <c r="W203" s="218"/>
      <c r="X203" s="218"/>
      <c r="Y203" s="218"/>
      <c r="Z203" s="218"/>
      <c r="AA203" s="218"/>
      <c r="AB203" s="218"/>
      <c r="AC203" s="218"/>
      <c r="AD203" s="218"/>
      <c r="AE203" s="219"/>
      <c r="AF203" s="219"/>
      <c r="AG203" s="219"/>
      <c r="AH203" s="219"/>
      <c r="AI203" s="219"/>
      <c r="AJ203" s="219"/>
      <c r="AK203" s="219"/>
      <c r="AL203" s="219"/>
      <c r="AM203" s="219"/>
      <c r="AN203" s="219"/>
      <c r="AO203" s="219"/>
      <c r="AP203" s="219"/>
      <c r="AQ203" s="219"/>
      <c r="AR203" s="219"/>
    </row>
    <row r="204" spans="1:44" x14ac:dyDescent="0.35">
      <c r="A204" s="236"/>
      <c r="B204" s="236"/>
      <c r="C204" s="236"/>
      <c r="D204" s="200"/>
      <c r="E204" s="236"/>
      <c r="F204" s="236"/>
      <c r="G204" s="236"/>
      <c r="H204" s="236"/>
      <c r="I204" s="236"/>
      <c r="J204" s="236"/>
      <c r="K204" s="236"/>
      <c r="L204" s="236"/>
      <c r="M204" s="236"/>
      <c r="N204" s="236"/>
      <c r="O204" s="236"/>
      <c r="P204" s="236"/>
      <c r="Q204" s="236"/>
      <c r="R204" s="236"/>
      <c r="S204" s="218"/>
      <c r="T204" s="218"/>
      <c r="U204" s="218"/>
      <c r="V204" s="218"/>
      <c r="W204" s="218"/>
      <c r="X204" s="218"/>
      <c r="Y204" s="218"/>
      <c r="Z204" s="218"/>
      <c r="AA204" s="218"/>
      <c r="AB204" s="218"/>
      <c r="AC204" s="218"/>
      <c r="AD204" s="218"/>
      <c r="AE204" s="219"/>
      <c r="AF204" s="219"/>
      <c r="AG204" s="219"/>
      <c r="AH204" s="219"/>
      <c r="AI204" s="219"/>
      <c r="AJ204" s="219"/>
      <c r="AK204" s="219"/>
      <c r="AL204" s="219"/>
      <c r="AM204" s="219"/>
      <c r="AN204" s="219"/>
      <c r="AO204" s="219"/>
      <c r="AP204" s="219"/>
      <c r="AQ204" s="219"/>
      <c r="AR204" s="219"/>
    </row>
    <row r="205" spans="1:44" x14ac:dyDescent="0.35">
      <c r="A205" s="236"/>
      <c r="B205" s="236"/>
      <c r="C205" s="236"/>
      <c r="D205" s="200"/>
      <c r="E205" s="236"/>
      <c r="F205" s="236"/>
      <c r="G205" s="236"/>
      <c r="H205" s="236"/>
      <c r="I205" s="236"/>
      <c r="J205" s="236"/>
      <c r="K205" s="236"/>
      <c r="L205" s="236"/>
      <c r="M205" s="236"/>
      <c r="N205" s="236"/>
      <c r="O205" s="236"/>
      <c r="P205" s="236"/>
      <c r="Q205" s="236"/>
      <c r="R205" s="236"/>
      <c r="S205" s="218"/>
      <c r="T205" s="218"/>
      <c r="U205" s="218"/>
      <c r="V205" s="218"/>
      <c r="W205" s="218"/>
      <c r="X205" s="218"/>
      <c r="Y205" s="218"/>
      <c r="Z205" s="218"/>
      <c r="AA205" s="218"/>
      <c r="AB205" s="218"/>
      <c r="AC205" s="218"/>
      <c r="AD205" s="218"/>
      <c r="AE205" s="219"/>
      <c r="AF205" s="219"/>
      <c r="AG205" s="219"/>
      <c r="AH205" s="219"/>
      <c r="AI205" s="219"/>
      <c r="AJ205" s="219"/>
      <c r="AK205" s="219"/>
      <c r="AL205" s="219"/>
      <c r="AM205" s="219"/>
      <c r="AN205" s="219"/>
      <c r="AO205" s="219"/>
      <c r="AP205" s="219"/>
      <c r="AQ205" s="219"/>
      <c r="AR205" s="219"/>
    </row>
    <row r="206" spans="1:44" x14ac:dyDescent="0.35">
      <c r="A206" s="236"/>
      <c r="B206" s="236"/>
      <c r="C206" s="236"/>
      <c r="D206" s="200"/>
      <c r="E206" s="236"/>
      <c r="F206" s="236"/>
      <c r="G206" s="236"/>
      <c r="H206" s="236"/>
      <c r="I206" s="236"/>
      <c r="J206" s="236"/>
      <c r="K206" s="236"/>
      <c r="L206" s="236"/>
      <c r="M206" s="236"/>
      <c r="N206" s="236"/>
      <c r="O206" s="236"/>
      <c r="P206" s="236"/>
      <c r="Q206" s="236"/>
      <c r="R206" s="236"/>
      <c r="S206" s="218"/>
      <c r="T206" s="218"/>
      <c r="U206" s="218"/>
      <c r="V206" s="218"/>
      <c r="W206" s="218"/>
      <c r="X206" s="218"/>
      <c r="Y206" s="218"/>
      <c r="Z206" s="218"/>
      <c r="AA206" s="218"/>
      <c r="AB206" s="218"/>
      <c r="AC206" s="218"/>
      <c r="AD206" s="218"/>
      <c r="AE206" s="219"/>
      <c r="AF206" s="219"/>
      <c r="AG206" s="219"/>
      <c r="AH206" s="219"/>
      <c r="AI206" s="219"/>
      <c r="AJ206" s="219"/>
      <c r="AK206" s="219"/>
      <c r="AL206" s="219"/>
      <c r="AM206" s="219"/>
      <c r="AN206" s="219"/>
      <c r="AO206" s="219"/>
      <c r="AP206" s="219"/>
      <c r="AQ206" s="219"/>
      <c r="AR206" s="219"/>
    </row>
    <row r="207" spans="1:44" x14ac:dyDescent="0.35">
      <c r="A207" s="236"/>
      <c r="B207" s="236"/>
      <c r="C207" s="236"/>
      <c r="D207" s="200"/>
      <c r="E207" s="236"/>
      <c r="F207" s="236"/>
      <c r="G207" s="236"/>
      <c r="H207" s="236"/>
      <c r="I207" s="236"/>
      <c r="J207" s="236"/>
      <c r="K207" s="236"/>
      <c r="L207" s="236"/>
      <c r="M207" s="236"/>
      <c r="N207" s="236"/>
      <c r="O207" s="236"/>
      <c r="P207" s="236"/>
      <c r="Q207" s="236"/>
      <c r="R207" s="236"/>
      <c r="S207" s="218"/>
      <c r="T207" s="218"/>
      <c r="U207" s="218"/>
      <c r="V207" s="218"/>
      <c r="W207" s="218"/>
      <c r="X207" s="218"/>
      <c r="Y207" s="218"/>
      <c r="Z207" s="218"/>
      <c r="AA207" s="218"/>
      <c r="AB207" s="218"/>
      <c r="AC207" s="218"/>
      <c r="AD207" s="218"/>
      <c r="AE207" s="219"/>
      <c r="AF207" s="219"/>
      <c r="AG207" s="219"/>
      <c r="AH207" s="219"/>
      <c r="AI207" s="219"/>
      <c r="AJ207" s="219"/>
      <c r="AK207" s="219"/>
      <c r="AL207" s="219"/>
      <c r="AM207" s="219"/>
      <c r="AN207" s="219"/>
      <c r="AO207" s="219"/>
      <c r="AP207" s="219"/>
      <c r="AQ207" s="219"/>
      <c r="AR207" s="219"/>
    </row>
    <row r="208" spans="1:44" x14ac:dyDescent="0.35">
      <c r="A208" s="236"/>
      <c r="B208" s="236"/>
      <c r="C208" s="236"/>
      <c r="D208" s="200"/>
      <c r="E208" s="236"/>
      <c r="F208" s="236"/>
      <c r="G208" s="236"/>
      <c r="H208" s="236"/>
      <c r="I208" s="236"/>
      <c r="J208" s="236"/>
      <c r="K208" s="236"/>
      <c r="L208" s="236"/>
      <c r="M208" s="236"/>
      <c r="N208" s="236"/>
      <c r="O208" s="236"/>
      <c r="P208" s="236"/>
      <c r="Q208" s="236"/>
      <c r="R208" s="236"/>
      <c r="S208" s="218"/>
      <c r="T208" s="218"/>
      <c r="U208" s="218"/>
      <c r="V208" s="218"/>
      <c r="W208" s="218"/>
      <c r="X208" s="218"/>
      <c r="Y208" s="218"/>
      <c r="Z208" s="218"/>
      <c r="AA208" s="218"/>
      <c r="AB208" s="218"/>
      <c r="AC208" s="218"/>
      <c r="AD208" s="218"/>
      <c r="AE208" s="219"/>
      <c r="AF208" s="219"/>
      <c r="AG208" s="219"/>
      <c r="AH208" s="219"/>
      <c r="AI208" s="219"/>
      <c r="AJ208" s="219"/>
      <c r="AK208" s="219"/>
      <c r="AL208" s="219"/>
      <c r="AM208" s="219"/>
      <c r="AN208" s="219"/>
      <c r="AO208" s="219"/>
      <c r="AP208" s="219"/>
      <c r="AQ208" s="219"/>
      <c r="AR208" s="219"/>
    </row>
    <row r="209" spans="1:44" x14ac:dyDescent="0.35">
      <c r="A209" s="236"/>
      <c r="B209" s="236"/>
      <c r="C209" s="236"/>
      <c r="D209" s="200"/>
      <c r="E209" s="236"/>
      <c r="F209" s="236"/>
      <c r="G209" s="236"/>
      <c r="H209" s="236"/>
      <c r="I209" s="236"/>
      <c r="J209" s="236"/>
      <c r="K209" s="236"/>
      <c r="L209" s="236"/>
      <c r="M209" s="236"/>
      <c r="N209" s="236"/>
      <c r="O209" s="236"/>
      <c r="P209" s="236"/>
      <c r="Q209" s="236"/>
      <c r="R209" s="236"/>
      <c r="S209" s="218"/>
      <c r="T209" s="218"/>
      <c r="U209" s="218"/>
      <c r="V209" s="218"/>
      <c r="W209" s="218"/>
      <c r="X209" s="218"/>
      <c r="Y209" s="218"/>
      <c r="Z209" s="218"/>
      <c r="AA209" s="218"/>
      <c r="AB209" s="218"/>
      <c r="AC209" s="218"/>
      <c r="AD209" s="218"/>
      <c r="AE209" s="219"/>
      <c r="AF209" s="219"/>
      <c r="AG209" s="219"/>
      <c r="AH209" s="219"/>
      <c r="AI209" s="219"/>
      <c r="AJ209" s="219"/>
      <c r="AK209" s="219"/>
      <c r="AL209" s="219"/>
      <c r="AM209" s="219"/>
      <c r="AN209" s="219"/>
      <c r="AO209" s="219"/>
      <c r="AP209" s="219"/>
      <c r="AQ209" s="219"/>
      <c r="AR209" s="219"/>
    </row>
    <row r="210" spans="1:44" x14ac:dyDescent="0.35">
      <c r="A210" s="236"/>
      <c r="B210" s="236"/>
      <c r="C210" s="236"/>
      <c r="D210" s="200"/>
      <c r="E210" s="236"/>
      <c r="F210" s="236"/>
      <c r="G210" s="236"/>
      <c r="H210" s="236"/>
      <c r="I210" s="236"/>
    </row>
  </sheetData>
  <mergeCells count="2">
    <mergeCell ref="A1:B1"/>
    <mergeCell ref="B2:C2"/>
  </mergeCells>
  <phoneticPr fontId="17" type="noConversion"/>
  <conditionalFormatting sqref="F6:F93">
    <cfRule type="cellIs" dxfId="11" priority="1" operator="equal">
      <formula>"Not Started"</formula>
    </cfRule>
  </conditionalFormatting>
  <dataValidations disablePrompts="1" count="1">
    <dataValidation type="list" allowBlank="1" showInputMessage="1" showErrorMessage="1" sqref="B3" xr:uid="{D5B3407F-A18D-47BE-B9A5-F33E61D87817}">
      <formula1>titles</formula1>
    </dataValidation>
  </dataValidations>
  <hyperlinks>
    <hyperlink ref="G21" r:id="rId1" xr:uid="{DF5391DA-CF53-43ED-ACD1-08FE0388D1BE}"/>
  </hyperlinks>
  <pageMargins left="0.7" right="0.7" top="0.75" bottom="0.75" header="0.3" footer="0.3"/>
  <pageSetup orientation="portrait" horizontalDpi="0" verticalDpi="0"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29807-B7EC-4861-BBF0-F3E1D5FCC85D}">
  <dimension ref="A1:AD172"/>
  <sheetViews>
    <sheetView topLeftCell="A7" zoomScale="99" zoomScaleNormal="99" workbookViewId="0">
      <selection activeCell="A21" sqref="A21:J22"/>
    </sheetView>
  </sheetViews>
  <sheetFormatPr defaultRowHeight="14.5" x14ac:dyDescent="0.35"/>
  <cols>
    <col min="1" max="1" width="34.81640625" customWidth="1"/>
    <col min="2" max="2" width="43.81640625" customWidth="1"/>
    <col min="3" max="3" width="45.26953125" customWidth="1"/>
    <col min="4" max="4" width="17.54296875" customWidth="1"/>
    <col min="5" max="5" width="28.81640625" customWidth="1"/>
    <col min="6" max="6" width="17.1796875" customWidth="1"/>
    <col min="7" max="7" width="32.453125" customWidth="1"/>
    <col min="8" max="8" width="54.81640625" customWidth="1"/>
    <col min="9" max="9" width="22.54296875" customWidth="1"/>
    <col min="10" max="10" width="27.54296875" customWidth="1"/>
    <col min="11" max="11" width="17.54296875" customWidth="1"/>
    <col min="12" max="12" width="33.1796875" customWidth="1"/>
  </cols>
  <sheetData>
    <row r="1" spans="1:30" x14ac:dyDescent="0.35">
      <c r="A1" s="257"/>
      <c r="B1" s="257"/>
      <c r="C1" s="257"/>
      <c r="D1" s="257"/>
      <c r="E1" s="257"/>
      <c r="F1" s="257"/>
      <c r="G1" s="257"/>
      <c r="H1" s="257"/>
      <c r="I1" s="257"/>
      <c r="J1" s="257"/>
      <c r="K1" s="257"/>
      <c r="L1" s="236"/>
      <c r="M1" s="236"/>
      <c r="N1" s="236"/>
      <c r="O1" s="236"/>
      <c r="P1" s="236"/>
      <c r="Q1" s="236"/>
      <c r="R1" s="236"/>
      <c r="S1" s="236"/>
      <c r="T1" s="236"/>
      <c r="U1" s="236"/>
      <c r="V1" s="236"/>
      <c r="W1" s="236"/>
      <c r="X1" s="236"/>
      <c r="Y1" s="236"/>
      <c r="Z1" s="236"/>
      <c r="AA1" s="236"/>
      <c r="AB1" s="236"/>
    </row>
    <row r="2" spans="1:30" x14ac:dyDescent="0.35">
      <c r="A2" s="257"/>
      <c r="B2" s="257"/>
      <c r="C2" s="257"/>
      <c r="D2" s="257"/>
      <c r="E2" s="257"/>
      <c r="F2" s="257"/>
      <c r="G2" s="257"/>
      <c r="H2" s="257"/>
      <c r="I2" s="257"/>
      <c r="J2" s="257"/>
      <c r="K2" s="257"/>
      <c r="L2" s="236"/>
      <c r="M2" s="236"/>
      <c r="N2" s="236"/>
      <c r="O2" s="236"/>
      <c r="P2" s="236"/>
      <c r="Q2" s="236"/>
      <c r="R2" s="236"/>
      <c r="S2" s="236"/>
      <c r="T2" s="236"/>
      <c r="U2" s="236"/>
      <c r="V2" s="236"/>
      <c r="W2" s="236"/>
      <c r="X2" s="236"/>
      <c r="Y2" s="236"/>
      <c r="Z2" s="236"/>
      <c r="AA2" s="236"/>
      <c r="AB2" s="236"/>
    </row>
    <row r="3" spans="1:30" ht="15.65" customHeight="1" thickBot="1" x14ac:dyDescent="0.4">
      <c r="A3" s="257"/>
      <c r="B3" s="257"/>
      <c r="C3" s="257"/>
      <c r="D3" s="257"/>
      <c r="E3" s="257"/>
      <c r="F3" s="257"/>
      <c r="G3" s="257"/>
      <c r="H3" s="257"/>
      <c r="I3" s="257"/>
      <c r="J3" s="257"/>
      <c r="K3" s="257"/>
      <c r="L3" s="236"/>
      <c r="M3" s="236"/>
      <c r="N3" s="236"/>
      <c r="O3" s="236"/>
      <c r="P3" s="236"/>
      <c r="Q3" s="236"/>
      <c r="R3" s="236"/>
      <c r="S3" s="236"/>
      <c r="T3" s="236"/>
      <c r="U3" s="236"/>
      <c r="V3" s="236"/>
      <c r="W3" s="236"/>
      <c r="X3" s="236"/>
      <c r="Y3" s="236"/>
      <c r="Z3" s="236"/>
      <c r="AA3" s="236"/>
      <c r="AB3" s="236"/>
    </row>
    <row r="4" spans="1:30" ht="37.5" customHeight="1" thickBot="1" x14ac:dyDescent="0.75">
      <c r="A4" s="258" t="s">
        <v>222</v>
      </c>
      <c r="B4" s="259"/>
      <c r="C4" s="259"/>
      <c r="D4" s="259"/>
      <c r="E4" s="260"/>
      <c r="F4" s="257"/>
      <c r="G4" s="257"/>
      <c r="H4" s="257"/>
      <c r="I4" s="257"/>
      <c r="J4" s="257"/>
      <c r="K4" s="236"/>
      <c r="L4" s="236"/>
      <c r="M4" s="236"/>
      <c r="N4" s="236"/>
      <c r="O4" s="236"/>
      <c r="P4" s="236"/>
      <c r="Q4" s="236"/>
      <c r="R4" s="236"/>
      <c r="S4" s="236"/>
      <c r="T4" s="236"/>
      <c r="U4" s="236"/>
      <c r="V4" s="236"/>
      <c r="W4" s="236"/>
      <c r="X4" s="236"/>
      <c r="Y4" s="236"/>
      <c r="Z4" s="236"/>
      <c r="AA4" s="236"/>
      <c r="AB4" s="236"/>
    </row>
    <row r="5" spans="1:30" s="3" customFormat="1" ht="16" thickBot="1" x14ac:dyDescent="0.4">
      <c r="A5" s="3" t="s">
        <v>223</v>
      </c>
      <c r="B5" s="3" t="s">
        <v>224</v>
      </c>
      <c r="C5" s="3" t="s">
        <v>225</v>
      </c>
      <c r="D5" s="3" t="s">
        <v>226</v>
      </c>
      <c r="E5" s="3" t="s">
        <v>227</v>
      </c>
      <c r="F5" s="257"/>
      <c r="G5" s="257"/>
      <c r="H5" s="257"/>
      <c r="I5" s="257"/>
      <c r="J5" s="257"/>
      <c r="K5" s="68"/>
      <c r="L5" s="68"/>
      <c r="M5" s="68"/>
      <c r="N5" s="68"/>
      <c r="O5" s="68"/>
      <c r="P5" s="68"/>
      <c r="Q5" s="68"/>
      <c r="R5" s="68"/>
      <c r="S5" s="68"/>
      <c r="T5" s="68"/>
      <c r="U5" s="68"/>
      <c r="V5" s="68"/>
      <c r="W5" s="68"/>
      <c r="X5" s="68"/>
      <c r="Y5" s="68"/>
      <c r="Z5" s="68"/>
      <c r="AA5" s="68"/>
      <c r="AB5" s="68"/>
    </row>
    <row r="6" spans="1:30" ht="71.5" customHeight="1" x14ac:dyDescent="0.35">
      <c r="A6" s="20" t="s">
        <v>228</v>
      </c>
      <c r="B6" s="7" t="s">
        <v>33</v>
      </c>
      <c r="C6" s="67" t="s">
        <v>229</v>
      </c>
      <c r="D6" s="7"/>
      <c r="E6" s="8"/>
      <c r="F6" s="257"/>
      <c r="G6" s="257"/>
      <c r="H6" s="257"/>
      <c r="I6" s="257"/>
      <c r="J6" s="257"/>
      <c r="K6" s="236"/>
      <c r="L6" s="236"/>
      <c r="M6" s="236"/>
      <c r="N6" s="236"/>
      <c r="O6" s="236"/>
      <c r="P6" s="236"/>
      <c r="Q6" s="236"/>
      <c r="R6" s="236"/>
      <c r="S6" s="236"/>
      <c r="T6" s="236"/>
      <c r="U6" s="236"/>
      <c r="V6" s="236"/>
      <c r="W6" s="236"/>
      <c r="X6" s="236"/>
      <c r="Y6" s="236"/>
      <c r="Z6" s="236"/>
      <c r="AA6" s="236"/>
      <c r="AB6" s="236"/>
    </row>
    <row r="7" spans="1:30" ht="54" customHeight="1" thickBot="1" x14ac:dyDescent="0.4">
      <c r="A7" s="23" t="s">
        <v>227</v>
      </c>
      <c r="B7" s="10"/>
      <c r="C7" s="10"/>
      <c r="D7" s="10"/>
      <c r="E7" s="11"/>
      <c r="F7" s="257"/>
      <c r="G7" s="257"/>
      <c r="H7" s="257"/>
      <c r="I7" s="257"/>
      <c r="J7" s="257"/>
      <c r="K7" s="236"/>
      <c r="L7" s="236"/>
      <c r="M7" s="236"/>
      <c r="N7" s="236"/>
      <c r="O7" s="236"/>
      <c r="P7" s="236"/>
      <c r="Q7" s="236"/>
      <c r="R7" s="236"/>
      <c r="S7" s="236"/>
      <c r="T7" s="236"/>
      <c r="U7" s="236"/>
      <c r="V7" s="236"/>
      <c r="W7" s="236"/>
      <c r="X7" s="236"/>
      <c r="Y7" s="236"/>
      <c r="Z7" s="236"/>
      <c r="AA7" s="236"/>
      <c r="AB7" s="236"/>
    </row>
    <row r="8" spans="1:30" x14ac:dyDescent="0.35">
      <c r="A8" s="257"/>
      <c r="B8" s="257"/>
      <c r="C8" s="257"/>
      <c r="D8" s="257"/>
      <c r="E8" s="257"/>
      <c r="F8" s="257"/>
      <c r="G8" s="257"/>
      <c r="H8" s="257"/>
      <c r="I8" s="257"/>
      <c r="J8" s="257"/>
      <c r="K8" s="236"/>
      <c r="L8" s="236"/>
      <c r="M8" s="236"/>
      <c r="N8" s="236"/>
      <c r="O8" s="236"/>
      <c r="P8" s="236"/>
      <c r="Q8" s="236"/>
      <c r="R8" s="236"/>
      <c r="S8" s="236"/>
      <c r="T8" s="236"/>
      <c r="U8" s="236"/>
      <c r="V8" s="236"/>
      <c r="W8" s="236"/>
      <c r="X8" s="236"/>
      <c r="Y8" s="236"/>
      <c r="Z8" s="236"/>
      <c r="AA8" s="236"/>
      <c r="AB8" s="236"/>
    </row>
    <row r="9" spans="1:30" s="3" customFormat="1" ht="16" thickBot="1" x14ac:dyDescent="0.4">
      <c r="A9" s="3" t="s">
        <v>3</v>
      </c>
      <c r="B9" s="3" t="s">
        <v>4</v>
      </c>
      <c r="C9" s="3" t="s">
        <v>230</v>
      </c>
      <c r="D9" s="3" t="s">
        <v>231</v>
      </c>
      <c r="E9" s="3" t="s">
        <v>232</v>
      </c>
      <c r="F9" s="3" t="s">
        <v>233</v>
      </c>
      <c r="G9" s="3" t="s">
        <v>234</v>
      </c>
      <c r="H9" s="3" t="s">
        <v>235</v>
      </c>
      <c r="I9" s="3" t="s">
        <v>236</v>
      </c>
      <c r="J9" s="3" t="s">
        <v>237</v>
      </c>
      <c r="K9" s="3" t="s">
        <v>238</v>
      </c>
      <c r="L9" s="3" t="s">
        <v>6</v>
      </c>
      <c r="M9" s="68"/>
      <c r="N9" s="68"/>
      <c r="O9" s="68"/>
      <c r="P9" s="68"/>
      <c r="Q9" s="68"/>
      <c r="R9" s="68"/>
      <c r="S9" s="68"/>
      <c r="T9" s="68"/>
      <c r="U9" s="68"/>
      <c r="V9" s="68"/>
      <c r="W9" s="68"/>
      <c r="X9" s="68"/>
      <c r="Y9" s="68"/>
      <c r="Z9" s="68"/>
      <c r="AA9" s="68"/>
      <c r="AB9" s="68"/>
      <c r="AC9" s="68"/>
      <c r="AD9" s="68"/>
    </row>
    <row r="10" spans="1:30" ht="48" customHeight="1" x14ac:dyDescent="0.45">
      <c r="A10" s="121" t="s">
        <v>239</v>
      </c>
      <c r="B10" s="122" t="s">
        <v>240</v>
      </c>
      <c r="C10" s="123"/>
      <c r="D10" s="116"/>
      <c r="E10" s="116"/>
      <c r="F10" s="116"/>
      <c r="G10" s="116"/>
      <c r="H10" s="116"/>
      <c r="I10" s="124"/>
      <c r="J10" s="116"/>
      <c r="K10" s="125"/>
      <c r="L10" s="126"/>
      <c r="M10" s="236"/>
      <c r="N10" s="236"/>
      <c r="O10" s="236"/>
      <c r="P10" s="236"/>
      <c r="Q10" s="236"/>
      <c r="R10" s="236"/>
      <c r="S10" s="236"/>
      <c r="T10" s="236"/>
      <c r="U10" s="236"/>
      <c r="V10" s="236"/>
      <c r="W10" s="236"/>
      <c r="X10" s="236"/>
      <c r="Y10" s="236"/>
      <c r="Z10" s="236"/>
      <c r="AA10" s="236"/>
      <c r="AB10" s="236"/>
      <c r="AC10" s="236"/>
      <c r="AD10" s="236"/>
    </row>
    <row r="11" spans="1:30" ht="18.5" x14ac:dyDescent="0.45">
      <c r="A11" s="127" t="s">
        <v>241</v>
      </c>
      <c r="B11" s="108" t="s">
        <v>240</v>
      </c>
      <c r="C11" s="128" t="s">
        <v>15</v>
      </c>
      <c r="D11" s="106"/>
      <c r="E11" s="106"/>
      <c r="F11" s="106"/>
      <c r="G11" s="106"/>
      <c r="H11" s="106"/>
      <c r="I11" s="109"/>
      <c r="J11" s="106"/>
      <c r="K11" s="129"/>
      <c r="L11" s="130"/>
      <c r="M11" s="236"/>
      <c r="N11" s="236"/>
      <c r="O11" s="236"/>
      <c r="P11" s="236"/>
      <c r="Q11" s="236"/>
      <c r="R11" s="236"/>
      <c r="S11" s="236"/>
      <c r="T11" s="236"/>
      <c r="U11" s="236"/>
      <c r="V11" s="236"/>
      <c r="W11" s="236"/>
      <c r="X11" s="236"/>
      <c r="Y11" s="236"/>
      <c r="Z11" s="236"/>
      <c r="AA11" s="236"/>
      <c r="AB11" s="236"/>
      <c r="AC11" s="236"/>
      <c r="AD11" s="236"/>
    </row>
    <row r="12" spans="1:30" s="28" customFormat="1" ht="73.5" customHeight="1" x14ac:dyDescent="0.45">
      <c r="A12" s="49" t="s">
        <v>242</v>
      </c>
      <c r="B12" s="100" t="s">
        <v>78</v>
      </c>
      <c r="C12" s="91"/>
      <c r="I12" s="98" t="s">
        <v>75</v>
      </c>
      <c r="K12" s="76" t="s">
        <v>33</v>
      </c>
      <c r="L12" s="78" t="s">
        <v>79</v>
      </c>
      <c r="M12" s="29"/>
      <c r="N12" s="29"/>
      <c r="O12" s="29"/>
      <c r="P12" s="29"/>
      <c r="Q12" s="29"/>
      <c r="R12" s="29"/>
      <c r="S12" s="29"/>
      <c r="T12" s="29"/>
      <c r="U12" s="29"/>
      <c r="V12" s="29"/>
      <c r="W12" s="29"/>
      <c r="X12" s="29"/>
      <c r="Y12" s="29"/>
      <c r="Z12" s="29"/>
      <c r="AA12" s="29"/>
      <c r="AB12" s="29"/>
      <c r="AC12" s="29"/>
      <c r="AD12" s="29"/>
    </row>
    <row r="13" spans="1:30" ht="62" x14ac:dyDescent="0.45">
      <c r="A13" s="41" t="s">
        <v>243</v>
      </c>
      <c r="B13" s="95" t="s">
        <v>80</v>
      </c>
      <c r="C13" s="90"/>
      <c r="I13" s="1" t="s">
        <v>75</v>
      </c>
      <c r="K13" s="75" t="s">
        <v>33</v>
      </c>
      <c r="L13" s="71" t="s">
        <v>79</v>
      </c>
      <c r="M13" s="236"/>
      <c r="N13" s="236"/>
      <c r="O13" s="236"/>
      <c r="P13" s="236"/>
      <c r="Q13" s="236"/>
      <c r="R13" s="236"/>
      <c r="S13" s="236"/>
      <c r="T13" s="236"/>
      <c r="U13" s="236"/>
      <c r="V13" s="236"/>
      <c r="W13" s="236"/>
      <c r="X13" s="236"/>
      <c r="Y13" s="236"/>
      <c r="Z13" s="236"/>
      <c r="AA13" s="236"/>
      <c r="AB13" s="236"/>
      <c r="AC13" s="236"/>
      <c r="AD13" s="236"/>
    </row>
    <row r="14" spans="1:30" s="2" customFormat="1" ht="77.5" x14ac:dyDescent="0.45">
      <c r="A14" s="49" t="s">
        <v>244</v>
      </c>
      <c r="B14" s="100" t="s">
        <v>81</v>
      </c>
      <c r="C14" s="90"/>
      <c r="I14" s="98" t="s">
        <v>75</v>
      </c>
      <c r="K14" s="76" t="s">
        <v>33</v>
      </c>
      <c r="L14" s="72" t="s">
        <v>82</v>
      </c>
      <c r="M14" s="21"/>
      <c r="N14" s="21"/>
      <c r="O14" s="21"/>
      <c r="P14" s="21"/>
      <c r="Q14" s="21"/>
      <c r="R14" s="21"/>
      <c r="S14" s="21"/>
      <c r="T14" s="21"/>
      <c r="U14" s="21"/>
      <c r="V14" s="21"/>
      <c r="W14" s="21"/>
      <c r="X14" s="21"/>
      <c r="Y14" s="21"/>
      <c r="Z14" s="21"/>
      <c r="AA14" s="21"/>
      <c r="AB14" s="21"/>
      <c r="AC14" s="21"/>
      <c r="AD14" s="21"/>
    </row>
    <row r="15" spans="1:30" ht="18.5" x14ac:dyDescent="0.45">
      <c r="A15" s="127" t="s">
        <v>245</v>
      </c>
      <c r="B15" s="108" t="s">
        <v>240</v>
      </c>
      <c r="C15" s="128"/>
      <c r="D15" s="106"/>
      <c r="E15" s="106"/>
      <c r="F15" s="106"/>
      <c r="G15" s="106"/>
      <c r="H15" s="106"/>
      <c r="I15" s="109"/>
      <c r="J15" s="106"/>
      <c r="K15" s="129"/>
      <c r="L15" s="130"/>
      <c r="M15" s="236"/>
      <c r="N15" s="236"/>
      <c r="O15" s="236"/>
      <c r="P15" s="236"/>
      <c r="Q15" s="236"/>
      <c r="R15" s="236"/>
      <c r="S15" s="236"/>
      <c r="T15" s="236"/>
      <c r="U15" s="236"/>
      <c r="V15" s="236"/>
      <c r="W15" s="236"/>
      <c r="X15" s="236"/>
      <c r="Y15" s="236"/>
      <c r="Z15" s="236"/>
      <c r="AA15" s="236"/>
      <c r="AB15" s="236"/>
      <c r="AC15" s="236"/>
      <c r="AD15" s="236"/>
    </row>
    <row r="16" spans="1:30" ht="59" x14ac:dyDescent="0.45">
      <c r="A16" s="41" t="s">
        <v>246</v>
      </c>
      <c r="B16" s="95" t="s">
        <v>84</v>
      </c>
      <c r="C16" s="90"/>
      <c r="I16" s="98" t="s">
        <v>75</v>
      </c>
      <c r="K16" s="76" t="s">
        <v>33</v>
      </c>
      <c r="L16" s="72" t="s">
        <v>79</v>
      </c>
      <c r="M16" s="236"/>
      <c r="N16" s="236"/>
      <c r="O16" s="236"/>
      <c r="P16" s="236"/>
      <c r="Q16" s="236"/>
      <c r="R16" s="236"/>
      <c r="S16" s="236"/>
      <c r="T16" s="236"/>
      <c r="U16" s="236"/>
      <c r="V16" s="236"/>
      <c r="W16" s="236"/>
      <c r="X16" s="236"/>
      <c r="Y16" s="236"/>
      <c r="Z16" s="236"/>
      <c r="AA16" s="236"/>
      <c r="AB16" s="236"/>
      <c r="AC16" s="236"/>
      <c r="AD16" s="236"/>
    </row>
    <row r="17" spans="1:30" s="2" customFormat="1" ht="81.650000000000006" customHeight="1" x14ac:dyDescent="0.45">
      <c r="A17" s="49" t="s">
        <v>247</v>
      </c>
      <c r="B17" s="100" t="s">
        <v>85</v>
      </c>
      <c r="C17" s="90"/>
      <c r="I17" s="98" t="s">
        <v>75</v>
      </c>
      <c r="K17" s="76" t="s">
        <v>33</v>
      </c>
      <c r="L17" s="72" t="s">
        <v>86</v>
      </c>
      <c r="M17" s="21"/>
      <c r="N17" s="21"/>
      <c r="O17" s="21"/>
      <c r="P17" s="21"/>
      <c r="Q17" s="21"/>
      <c r="R17" s="21"/>
      <c r="S17" s="21"/>
      <c r="T17" s="21"/>
      <c r="U17" s="21"/>
      <c r="V17" s="21"/>
      <c r="W17" s="21"/>
      <c r="X17" s="21"/>
      <c r="Y17" s="21"/>
      <c r="Z17" s="21"/>
      <c r="AA17" s="21"/>
      <c r="AB17" s="21"/>
      <c r="AC17" s="21"/>
      <c r="AD17" s="21"/>
    </row>
    <row r="18" spans="1:30" ht="77.5" x14ac:dyDescent="0.45">
      <c r="A18" s="34" t="s">
        <v>248</v>
      </c>
      <c r="B18" s="95" t="s">
        <v>87</v>
      </c>
      <c r="C18" s="90"/>
      <c r="I18" s="98" t="s">
        <v>75</v>
      </c>
      <c r="K18" s="76" t="s">
        <v>33</v>
      </c>
      <c r="L18" s="72" t="s">
        <v>79</v>
      </c>
      <c r="M18" s="236"/>
      <c r="N18" s="236"/>
      <c r="O18" s="236"/>
      <c r="P18" s="236"/>
      <c r="Q18" s="236"/>
      <c r="R18" s="236"/>
      <c r="S18" s="236"/>
      <c r="T18" s="236"/>
      <c r="U18" s="236"/>
      <c r="V18" s="236"/>
      <c r="W18" s="236"/>
      <c r="X18" s="236"/>
      <c r="Y18" s="236"/>
      <c r="Z18" s="236"/>
      <c r="AA18" s="236"/>
      <c r="AB18" s="236"/>
      <c r="AC18" s="236"/>
      <c r="AD18" s="236"/>
    </row>
    <row r="19" spans="1:30" s="2" customFormat="1" ht="62" x14ac:dyDescent="0.45">
      <c r="A19" s="35" t="s">
        <v>249</v>
      </c>
      <c r="B19" s="100" t="s">
        <v>89</v>
      </c>
      <c r="C19" s="90"/>
      <c r="I19" s="98" t="s">
        <v>75</v>
      </c>
      <c r="K19" s="76" t="s">
        <v>33</v>
      </c>
      <c r="L19" s="72" t="s">
        <v>79</v>
      </c>
      <c r="M19" s="21"/>
      <c r="N19" s="21"/>
      <c r="O19" s="21"/>
      <c r="P19" s="21"/>
      <c r="Q19" s="21"/>
      <c r="R19" s="21"/>
      <c r="S19" s="21"/>
      <c r="T19" s="21"/>
      <c r="U19" s="21"/>
      <c r="V19" s="21"/>
      <c r="W19" s="21"/>
      <c r="X19" s="21"/>
      <c r="Y19" s="21"/>
      <c r="Z19" s="21"/>
      <c r="AA19" s="21"/>
      <c r="AB19" s="21"/>
      <c r="AC19" s="21"/>
      <c r="AD19" s="21"/>
    </row>
    <row r="20" spans="1:30" ht="59.5" thickBot="1" x14ac:dyDescent="0.5">
      <c r="A20" s="43" t="s">
        <v>250</v>
      </c>
      <c r="B20" s="96" t="s">
        <v>91</v>
      </c>
      <c r="C20" s="92"/>
      <c r="D20" s="10"/>
      <c r="E20" s="10"/>
      <c r="F20" s="10"/>
      <c r="G20" s="10"/>
      <c r="H20" s="10"/>
      <c r="I20" s="99" t="s">
        <v>75</v>
      </c>
      <c r="J20" s="10"/>
      <c r="K20" s="79" t="s">
        <v>33</v>
      </c>
      <c r="L20" s="80" t="s">
        <v>79</v>
      </c>
      <c r="M20" s="236"/>
      <c r="N20" s="236"/>
      <c r="O20" s="236"/>
      <c r="P20" s="236"/>
      <c r="Q20" s="236"/>
      <c r="R20" s="236"/>
      <c r="S20" s="236"/>
      <c r="T20" s="236"/>
      <c r="U20" s="236"/>
      <c r="V20" s="236"/>
      <c r="W20" s="236"/>
      <c r="X20" s="236"/>
      <c r="Y20" s="236"/>
      <c r="Z20" s="236"/>
      <c r="AA20" s="236"/>
      <c r="AB20" s="236"/>
      <c r="AC20" s="236"/>
      <c r="AD20" s="236"/>
    </row>
    <row r="21" spans="1:30" x14ac:dyDescent="0.35">
      <c r="A21" s="261"/>
      <c r="B21" s="261"/>
      <c r="C21" s="261"/>
      <c r="D21" s="261"/>
      <c r="E21" s="261"/>
      <c r="F21" s="261"/>
      <c r="G21" s="261"/>
      <c r="H21" s="261"/>
      <c r="I21" s="261"/>
      <c r="J21" s="261"/>
      <c r="K21" s="236"/>
      <c r="L21" s="236"/>
      <c r="M21" s="236"/>
      <c r="N21" s="236"/>
      <c r="O21" s="236"/>
      <c r="P21" s="236"/>
      <c r="Q21" s="236"/>
      <c r="R21" s="236"/>
      <c r="S21" s="236"/>
      <c r="T21" s="236"/>
      <c r="U21" s="236"/>
      <c r="V21" s="236"/>
      <c r="W21" s="236"/>
      <c r="X21" s="236"/>
      <c r="Y21" s="236"/>
      <c r="Z21" s="236"/>
      <c r="AA21" s="236"/>
      <c r="AB21" s="236"/>
    </row>
    <row r="22" spans="1:30" ht="15" thickBot="1" x14ac:dyDescent="0.4">
      <c r="A22" s="261"/>
      <c r="B22" s="261"/>
      <c r="C22" s="261"/>
      <c r="D22" s="261"/>
      <c r="E22" s="261"/>
      <c r="F22" s="261"/>
      <c r="G22" s="261"/>
      <c r="H22" s="261"/>
      <c r="I22" s="261"/>
      <c r="J22" s="261"/>
      <c r="K22" s="236"/>
      <c r="L22" s="236"/>
      <c r="M22" s="236"/>
      <c r="N22" s="236"/>
      <c r="O22" s="236"/>
      <c r="P22" s="236"/>
      <c r="Q22" s="236"/>
      <c r="R22" s="236"/>
      <c r="S22" s="236"/>
      <c r="T22" s="236"/>
      <c r="U22" s="236"/>
      <c r="V22" s="236"/>
      <c r="W22" s="236"/>
      <c r="X22" s="236"/>
      <c r="Y22" s="236"/>
      <c r="Z22" s="236"/>
      <c r="AA22" s="236"/>
      <c r="AB22" s="236"/>
    </row>
    <row r="23" spans="1:30" ht="31.5" thickBot="1" x14ac:dyDescent="0.75">
      <c r="A23" s="258" t="s">
        <v>251</v>
      </c>
      <c r="B23" s="259"/>
      <c r="C23" s="259"/>
      <c r="D23" s="259"/>
      <c r="E23" s="260"/>
      <c r="F23" s="261"/>
      <c r="G23" s="261"/>
      <c r="H23" s="261"/>
      <c r="I23" s="261"/>
      <c r="J23" s="261"/>
      <c r="K23" s="236"/>
      <c r="L23" s="236"/>
      <c r="M23" s="236"/>
      <c r="N23" s="236"/>
      <c r="O23" s="236"/>
      <c r="P23" s="236"/>
      <c r="Q23" s="236"/>
      <c r="R23" s="236"/>
      <c r="S23" s="236"/>
      <c r="T23" s="236"/>
      <c r="U23" s="236"/>
      <c r="V23" s="236"/>
      <c r="W23" s="236"/>
      <c r="X23" s="236"/>
      <c r="Y23" s="236"/>
      <c r="Z23" s="236"/>
      <c r="AA23" s="236"/>
      <c r="AB23" s="236"/>
    </row>
    <row r="24" spans="1:30" s="4" customFormat="1" ht="19" thickBot="1" x14ac:dyDescent="0.5">
      <c r="A24" s="4" t="s">
        <v>223</v>
      </c>
      <c r="B24" s="4" t="s">
        <v>224</v>
      </c>
      <c r="C24" s="4" t="s">
        <v>225</v>
      </c>
      <c r="D24" s="4" t="s">
        <v>226</v>
      </c>
      <c r="E24" s="4" t="s">
        <v>227</v>
      </c>
      <c r="F24" s="261"/>
      <c r="G24" s="261"/>
      <c r="H24" s="261"/>
      <c r="I24" s="261"/>
      <c r="J24" s="261"/>
      <c r="K24" s="238"/>
      <c r="L24" s="238"/>
      <c r="M24" s="238"/>
      <c r="N24" s="238"/>
      <c r="O24" s="238"/>
      <c r="P24" s="238"/>
      <c r="Q24" s="238"/>
      <c r="R24" s="238"/>
      <c r="S24" s="238"/>
      <c r="T24" s="238"/>
      <c r="U24" s="238"/>
      <c r="V24" s="238"/>
      <c r="W24" s="238"/>
      <c r="X24" s="238"/>
      <c r="Y24" s="238"/>
      <c r="Z24" s="238"/>
      <c r="AA24" s="238"/>
      <c r="AB24" s="238"/>
    </row>
    <row r="25" spans="1:30" ht="43.5" x14ac:dyDescent="0.35">
      <c r="A25" s="20" t="s">
        <v>252</v>
      </c>
      <c r="B25" s="7" t="s">
        <v>33</v>
      </c>
      <c r="C25" s="7"/>
      <c r="D25" s="7"/>
      <c r="E25" s="8"/>
      <c r="F25" s="261"/>
      <c r="G25" s="261"/>
      <c r="H25" s="261"/>
      <c r="I25" s="261"/>
      <c r="J25" s="261"/>
      <c r="K25" s="21"/>
      <c r="L25" s="21"/>
      <c r="M25" s="21"/>
      <c r="N25" s="21"/>
      <c r="O25" s="21"/>
      <c r="P25" s="21"/>
      <c r="Q25" s="21"/>
      <c r="R25" s="21"/>
      <c r="S25" s="21"/>
      <c r="T25" s="21"/>
      <c r="U25" s="21"/>
      <c r="V25" s="21"/>
      <c r="W25" s="21"/>
      <c r="X25" s="21"/>
      <c r="Y25" s="21"/>
      <c r="Z25" s="21"/>
      <c r="AA25" s="21"/>
      <c r="AB25" s="21"/>
    </row>
    <row r="26" spans="1:30" ht="76" customHeight="1" thickBot="1" x14ac:dyDescent="0.4">
      <c r="A26" s="9" t="s">
        <v>227</v>
      </c>
      <c r="B26" s="10"/>
      <c r="C26" s="10"/>
      <c r="D26" s="10"/>
      <c r="E26" s="11"/>
      <c r="F26" s="261"/>
      <c r="G26" s="261"/>
      <c r="H26" s="261"/>
      <c r="I26" s="261"/>
      <c r="J26" s="261"/>
      <c r="K26" s="21"/>
      <c r="L26" s="21"/>
      <c r="M26" s="21"/>
      <c r="N26" s="21"/>
      <c r="O26" s="21"/>
      <c r="P26" s="21"/>
      <c r="Q26" s="21"/>
      <c r="R26" s="21"/>
      <c r="S26" s="21"/>
      <c r="T26" s="21"/>
      <c r="U26" s="21"/>
      <c r="V26" s="21"/>
      <c r="W26" s="21"/>
      <c r="X26" s="21"/>
      <c r="Y26" s="21"/>
      <c r="Z26" s="21"/>
      <c r="AA26" s="21"/>
      <c r="AB26" s="21"/>
    </row>
    <row r="27" spans="1:30" x14ac:dyDescent="0.35">
      <c r="A27" s="263"/>
      <c r="B27" s="263"/>
      <c r="C27" s="263"/>
      <c r="D27" s="263"/>
      <c r="E27" s="263"/>
      <c r="F27" s="261"/>
      <c r="G27" s="261"/>
      <c r="H27" s="261"/>
      <c r="I27" s="261"/>
      <c r="J27" s="261"/>
      <c r="K27" s="21"/>
      <c r="L27" s="21"/>
      <c r="M27" s="21"/>
      <c r="N27" s="21"/>
      <c r="O27" s="21"/>
      <c r="P27" s="21"/>
      <c r="Q27" s="21"/>
      <c r="R27" s="21"/>
      <c r="S27" s="21"/>
      <c r="T27" s="21"/>
      <c r="U27" s="21"/>
      <c r="V27" s="21"/>
      <c r="W27" s="21"/>
      <c r="X27" s="21"/>
      <c r="Y27" s="21"/>
      <c r="Z27" s="21"/>
      <c r="AA27" s="21"/>
      <c r="AB27" s="21"/>
    </row>
    <row r="28" spans="1:30" ht="9" customHeight="1" x14ac:dyDescent="0.35">
      <c r="A28" s="263"/>
      <c r="B28" s="263"/>
      <c r="C28" s="263"/>
      <c r="D28" s="263"/>
      <c r="E28" s="263"/>
      <c r="F28" s="261"/>
      <c r="G28" s="261"/>
      <c r="H28" s="261"/>
      <c r="I28" s="261"/>
      <c r="J28" s="261"/>
      <c r="K28" s="21"/>
      <c r="L28" s="21"/>
      <c r="M28" s="21"/>
      <c r="N28" s="21"/>
      <c r="O28" s="21"/>
      <c r="P28" s="21"/>
      <c r="Q28" s="21"/>
      <c r="R28" s="21"/>
      <c r="S28" s="21"/>
      <c r="T28" s="21"/>
      <c r="U28" s="21"/>
      <c r="V28" s="21"/>
      <c r="W28" s="21"/>
      <c r="X28" s="21"/>
      <c r="Y28" s="21"/>
      <c r="Z28" s="21"/>
      <c r="AA28" s="21"/>
      <c r="AB28" s="21"/>
    </row>
    <row r="29" spans="1:30" hidden="1" x14ac:dyDescent="0.35">
      <c r="A29" s="263"/>
      <c r="B29" s="263"/>
      <c r="C29" s="263"/>
      <c r="D29" s="263"/>
      <c r="E29" s="263"/>
      <c r="F29" s="261"/>
      <c r="G29" s="261"/>
      <c r="H29" s="261"/>
      <c r="I29" s="261"/>
      <c r="J29" s="261"/>
      <c r="K29" s="21"/>
      <c r="L29" s="21"/>
      <c r="M29" s="21"/>
      <c r="N29" s="21"/>
      <c r="O29" s="21"/>
      <c r="P29" s="21"/>
      <c r="Q29" s="21"/>
      <c r="R29" s="21"/>
      <c r="S29" s="21"/>
      <c r="T29" s="21"/>
      <c r="U29" s="21"/>
      <c r="V29" s="21"/>
      <c r="W29" s="21"/>
      <c r="X29" s="21"/>
      <c r="Y29" s="21"/>
      <c r="Z29" s="21"/>
      <c r="AA29" s="21"/>
      <c r="AB29" s="21"/>
    </row>
    <row r="30" spans="1:30" hidden="1" x14ac:dyDescent="0.35">
      <c r="A30" s="263"/>
      <c r="B30" s="263"/>
      <c r="C30" s="263"/>
      <c r="D30" s="263"/>
      <c r="E30" s="263"/>
      <c r="F30" s="261"/>
      <c r="G30" s="261"/>
      <c r="H30" s="261"/>
      <c r="I30" s="261"/>
      <c r="J30" s="261"/>
      <c r="K30" s="21"/>
      <c r="L30" s="21"/>
      <c r="M30" s="21"/>
      <c r="N30" s="21"/>
      <c r="O30" s="21"/>
      <c r="P30" s="21"/>
      <c r="Q30" s="21"/>
      <c r="R30" s="21"/>
      <c r="S30" s="21"/>
      <c r="T30" s="21"/>
      <c r="U30" s="21"/>
      <c r="V30" s="21"/>
      <c r="W30" s="21"/>
      <c r="X30" s="21"/>
      <c r="Y30" s="21"/>
      <c r="Z30" s="21"/>
      <c r="AA30" s="21"/>
      <c r="AB30" s="21"/>
    </row>
    <row r="31" spans="1:30" hidden="1" x14ac:dyDescent="0.35">
      <c r="A31" s="263"/>
      <c r="B31" s="263"/>
      <c r="C31" s="263"/>
      <c r="D31" s="263"/>
      <c r="E31" s="263"/>
      <c r="F31" s="261"/>
      <c r="G31" s="261"/>
      <c r="H31" s="261"/>
      <c r="I31" s="261"/>
      <c r="J31" s="261"/>
      <c r="K31" s="21"/>
      <c r="L31" s="21"/>
      <c r="M31" s="21"/>
      <c r="N31" s="21"/>
      <c r="O31" s="21"/>
      <c r="P31" s="21"/>
      <c r="Q31" s="21"/>
      <c r="R31" s="21"/>
      <c r="S31" s="21"/>
      <c r="T31" s="21"/>
      <c r="U31" s="21"/>
      <c r="V31" s="21"/>
      <c r="W31" s="21"/>
      <c r="X31" s="21"/>
      <c r="Y31" s="21"/>
      <c r="Z31" s="21"/>
      <c r="AA31" s="21"/>
      <c r="AB31" s="21"/>
    </row>
    <row r="32" spans="1:30" s="4" customFormat="1" ht="19" thickBot="1" x14ac:dyDescent="0.5">
      <c r="A32" s="4" t="s">
        <v>3</v>
      </c>
      <c r="B32" s="4" t="s">
        <v>4</v>
      </c>
      <c r="C32" s="4" t="s">
        <v>230</v>
      </c>
      <c r="D32" s="4" t="s">
        <v>231</v>
      </c>
      <c r="E32" s="4" t="s">
        <v>232</v>
      </c>
      <c r="F32" s="4" t="s">
        <v>233</v>
      </c>
      <c r="G32" s="4" t="s">
        <v>234</v>
      </c>
      <c r="H32" s="4" t="s">
        <v>235</v>
      </c>
      <c r="I32" s="4" t="s">
        <v>236</v>
      </c>
      <c r="J32" s="4" t="s">
        <v>253</v>
      </c>
      <c r="K32" s="4" t="s">
        <v>238</v>
      </c>
      <c r="L32" s="4" t="s">
        <v>6</v>
      </c>
      <c r="M32" s="22"/>
      <c r="N32" s="22"/>
      <c r="O32" s="22"/>
      <c r="P32" s="22"/>
      <c r="Q32" s="22"/>
      <c r="R32" s="22"/>
      <c r="S32" s="22"/>
      <c r="T32" s="22"/>
      <c r="U32" s="22"/>
      <c r="V32" s="22"/>
      <c r="W32" s="22"/>
      <c r="X32" s="22"/>
      <c r="Y32" s="22"/>
      <c r="Z32" s="22"/>
      <c r="AA32" s="22"/>
      <c r="AB32" s="22"/>
      <c r="AC32" s="22"/>
      <c r="AD32" s="22"/>
    </row>
    <row r="33" spans="1:30" ht="18.5" x14ac:dyDescent="0.45">
      <c r="A33" s="131" t="s">
        <v>254</v>
      </c>
      <c r="B33" s="115" t="s">
        <v>240</v>
      </c>
      <c r="C33" s="116"/>
      <c r="D33" s="116"/>
      <c r="E33" s="116"/>
      <c r="F33" s="116"/>
      <c r="G33" s="116"/>
      <c r="H33" s="116"/>
      <c r="I33" s="124"/>
      <c r="J33" s="116"/>
      <c r="K33" s="125"/>
      <c r="L33" s="126"/>
      <c r="M33" s="21"/>
      <c r="N33" s="21"/>
      <c r="O33" s="21"/>
      <c r="P33" s="21"/>
      <c r="Q33" s="21"/>
      <c r="R33" s="21"/>
      <c r="S33" s="21"/>
      <c r="T33" s="21"/>
      <c r="U33" s="21"/>
      <c r="V33" s="21"/>
      <c r="W33" s="21"/>
      <c r="X33" s="21"/>
      <c r="Y33" s="21"/>
      <c r="Z33" s="21"/>
      <c r="AA33" s="21"/>
      <c r="AB33" s="21"/>
      <c r="AC33" s="21"/>
      <c r="AD33" s="21"/>
    </row>
    <row r="34" spans="1:30" ht="18.5" x14ac:dyDescent="0.45">
      <c r="A34" s="132" t="s">
        <v>255</v>
      </c>
      <c r="B34" s="119" t="s">
        <v>240</v>
      </c>
      <c r="C34" s="106"/>
      <c r="D34" s="106"/>
      <c r="E34" s="106"/>
      <c r="F34" s="106"/>
      <c r="G34" s="106"/>
      <c r="H34" s="106"/>
      <c r="I34" s="109"/>
      <c r="J34" s="106"/>
      <c r="K34" s="129"/>
      <c r="L34" s="130"/>
      <c r="M34" s="21"/>
      <c r="N34" s="21"/>
      <c r="O34" s="21"/>
      <c r="P34" s="21"/>
      <c r="Q34" s="21"/>
      <c r="R34" s="21"/>
      <c r="S34" s="21"/>
      <c r="T34" s="21"/>
      <c r="U34" s="21"/>
      <c r="V34" s="21"/>
      <c r="W34" s="21"/>
      <c r="X34" s="21"/>
      <c r="Y34" s="21"/>
      <c r="Z34" s="21"/>
      <c r="AA34" s="21"/>
      <c r="AB34" s="21"/>
      <c r="AC34" s="21"/>
      <c r="AD34" s="21"/>
    </row>
    <row r="35" spans="1:30" s="2" customFormat="1" ht="18.5" x14ac:dyDescent="0.45">
      <c r="A35" s="132" t="s">
        <v>256</v>
      </c>
      <c r="B35" s="119" t="s">
        <v>240</v>
      </c>
      <c r="C35" s="106"/>
      <c r="D35" s="106"/>
      <c r="E35" s="106"/>
      <c r="F35" s="106"/>
      <c r="G35" s="106"/>
      <c r="H35" s="106"/>
      <c r="I35" s="109"/>
      <c r="J35" s="106"/>
      <c r="K35" s="129"/>
      <c r="L35" s="130"/>
      <c r="M35" s="21"/>
      <c r="N35" s="21"/>
      <c r="O35" s="21"/>
      <c r="P35" s="21"/>
      <c r="Q35" s="21"/>
      <c r="R35" s="21"/>
      <c r="S35" s="21"/>
      <c r="T35" s="21"/>
      <c r="U35" s="21"/>
      <c r="V35" s="21"/>
      <c r="W35" s="21"/>
      <c r="X35" s="21"/>
      <c r="Y35" s="21"/>
      <c r="Z35" s="21"/>
      <c r="AA35" s="21"/>
      <c r="AB35" s="21"/>
      <c r="AC35" s="21"/>
      <c r="AD35" s="21"/>
    </row>
    <row r="36" spans="1:30" s="2" customFormat="1" ht="18.5" x14ac:dyDescent="0.45">
      <c r="A36" s="132" t="s">
        <v>257</v>
      </c>
      <c r="B36" s="119" t="s">
        <v>240</v>
      </c>
      <c r="C36" s="106"/>
      <c r="D36" s="106"/>
      <c r="E36" s="106"/>
      <c r="F36" s="106"/>
      <c r="G36" s="106"/>
      <c r="H36" s="106"/>
      <c r="I36" s="109"/>
      <c r="J36" s="106"/>
      <c r="K36" s="129"/>
      <c r="L36" s="130"/>
      <c r="M36" s="21"/>
      <c r="N36" s="21"/>
      <c r="O36" s="21"/>
      <c r="P36" s="21"/>
      <c r="Q36" s="21"/>
      <c r="R36" s="21"/>
      <c r="S36" s="21"/>
      <c r="T36" s="21"/>
      <c r="U36" s="21"/>
      <c r="V36" s="21"/>
      <c r="W36" s="21"/>
      <c r="X36" s="21"/>
      <c r="Y36" s="21"/>
      <c r="Z36" s="21"/>
      <c r="AA36" s="21"/>
      <c r="AB36" s="21"/>
      <c r="AC36" s="21"/>
      <c r="AD36" s="21"/>
    </row>
    <row r="37" spans="1:30" ht="18.5" x14ac:dyDescent="0.45">
      <c r="A37" s="132" t="s">
        <v>258</v>
      </c>
      <c r="B37" s="119" t="s">
        <v>240</v>
      </c>
      <c r="C37" s="106"/>
      <c r="D37" s="106"/>
      <c r="E37" s="106"/>
      <c r="F37" s="106"/>
      <c r="G37" s="106"/>
      <c r="H37" s="106"/>
      <c r="I37" s="109"/>
      <c r="J37" s="106"/>
      <c r="K37" s="129"/>
      <c r="L37" s="130"/>
      <c r="M37" s="21"/>
      <c r="N37" s="21"/>
      <c r="O37" s="21"/>
      <c r="P37" s="21"/>
      <c r="Q37" s="21"/>
      <c r="R37" s="21"/>
      <c r="S37" s="21"/>
      <c r="T37" s="21"/>
      <c r="U37" s="21"/>
      <c r="V37" s="21"/>
      <c r="W37" s="21"/>
      <c r="X37" s="21"/>
      <c r="Y37" s="21"/>
      <c r="Z37" s="21"/>
      <c r="AA37" s="21"/>
      <c r="AB37" s="21"/>
      <c r="AC37" s="21"/>
      <c r="AD37" s="21"/>
    </row>
    <row r="38" spans="1:30" ht="79" thickBot="1" x14ac:dyDescent="0.5">
      <c r="A38" s="39" t="s">
        <v>259</v>
      </c>
      <c r="B38" s="15" t="s">
        <v>92</v>
      </c>
      <c r="C38" s="10" t="s">
        <v>33</v>
      </c>
      <c r="D38" s="10"/>
      <c r="E38" s="10"/>
      <c r="F38" s="10"/>
      <c r="G38" s="10"/>
      <c r="H38" s="10"/>
      <c r="I38" s="66" t="s">
        <v>75</v>
      </c>
      <c r="J38" s="10"/>
      <c r="K38" s="77" t="s">
        <v>33</v>
      </c>
      <c r="L38" s="73" t="s">
        <v>79</v>
      </c>
      <c r="M38" s="21"/>
      <c r="N38" s="21"/>
      <c r="O38" s="21"/>
      <c r="P38" s="21"/>
      <c r="Q38" s="21"/>
      <c r="R38" s="21"/>
      <c r="S38" s="21"/>
      <c r="T38" s="21"/>
      <c r="U38" s="21"/>
      <c r="V38" s="21"/>
      <c r="W38" s="21"/>
      <c r="X38" s="21"/>
      <c r="Y38" s="21"/>
      <c r="Z38" s="21"/>
      <c r="AA38" s="21"/>
      <c r="AB38" s="21"/>
      <c r="AC38" s="21"/>
      <c r="AD38" s="21"/>
    </row>
    <row r="39" spans="1:30" x14ac:dyDescent="0.35">
      <c r="A39" s="257"/>
      <c r="B39" s="257"/>
      <c r="C39" s="257"/>
      <c r="D39" s="257"/>
      <c r="E39" s="257"/>
      <c r="F39" s="257"/>
      <c r="G39" s="257"/>
      <c r="H39" s="257"/>
      <c r="I39" s="257"/>
      <c r="J39" s="257"/>
      <c r="K39" s="236"/>
      <c r="L39" s="236"/>
      <c r="M39" s="236"/>
      <c r="N39" s="236"/>
      <c r="O39" s="236"/>
      <c r="P39" s="236"/>
      <c r="Q39" s="236"/>
      <c r="R39" s="236"/>
      <c r="S39" s="236"/>
      <c r="T39" s="236"/>
      <c r="U39" s="236"/>
      <c r="V39" s="236"/>
      <c r="W39" s="236"/>
      <c r="X39" s="236"/>
      <c r="Y39" s="236"/>
      <c r="Z39" s="236"/>
      <c r="AA39" s="236"/>
      <c r="AB39" s="236"/>
    </row>
    <row r="40" spans="1:30" ht="15" thickBot="1" x14ac:dyDescent="0.4">
      <c r="A40" s="257"/>
      <c r="B40" s="257"/>
      <c r="C40" s="257"/>
      <c r="D40" s="257"/>
      <c r="E40" s="257"/>
      <c r="F40" s="257"/>
      <c r="G40" s="257"/>
      <c r="H40" s="257"/>
      <c r="I40" s="257"/>
      <c r="J40" s="257"/>
      <c r="K40" s="236"/>
      <c r="L40" s="236"/>
      <c r="M40" s="236"/>
      <c r="N40" s="236"/>
      <c r="O40" s="236"/>
      <c r="P40" s="236"/>
      <c r="Q40" s="236"/>
      <c r="R40" s="236"/>
      <c r="S40" s="236"/>
      <c r="T40" s="236"/>
      <c r="U40" s="236"/>
      <c r="V40" s="236"/>
      <c r="W40" s="236"/>
      <c r="X40" s="236"/>
      <c r="Y40" s="236"/>
      <c r="Z40" s="236"/>
      <c r="AA40" s="236"/>
      <c r="AB40" s="236"/>
    </row>
    <row r="41" spans="1:30" ht="34" thickBot="1" x14ac:dyDescent="0.8">
      <c r="A41" s="249" t="s">
        <v>260</v>
      </c>
      <c r="B41" s="250"/>
      <c r="C41" s="250"/>
      <c r="D41" s="250"/>
      <c r="E41" s="251"/>
      <c r="F41" s="245"/>
      <c r="G41" s="245"/>
      <c r="H41" s="245"/>
      <c r="I41" s="245"/>
      <c r="J41" s="245"/>
      <c r="K41" s="236"/>
      <c r="L41" s="236"/>
      <c r="M41" s="236"/>
      <c r="N41" s="236"/>
      <c r="O41" s="236"/>
      <c r="P41" s="236"/>
      <c r="Q41" s="236"/>
      <c r="R41" s="236"/>
      <c r="S41" s="236"/>
      <c r="T41" s="236"/>
      <c r="U41" s="236"/>
      <c r="V41" s="236"/>
      <c r="W41" s="236"/>
      <c r="X41" s="236"/>
      <c r="Y41" s="236"/>
      <c r="Z41" s="236"/>
      <c r="AA41" s="236"/>
      <c r="AB41" s="236"/>
    </row>
    <row r="42" spans="1:30" s="4" customFormat="1" ht="19" thickBot="1" x14ac:dyDescent="0.5">
      <c r="A42" s="4" t="s">
        <v>223</v>
      </c>
      <c r="B42" s="4" t="s">
        <v>224</v>
      </c>
      <c r="C42" s="4" t="s">
        <v>225</v>
      </c>
      <c r="D42" s="4" t="s">
        <v>226</v>
      </c>
      <c r="E42" s="4" t="s">
        <v>227</v>
      </c>
      <c r="F42" s="262"/>
      <c r="G42" s="262"/>
      <c r="H42" s="262"/>
      <c r="I42" s="262"/>
      <c r="J42" s="262"/>
      <c r="K42" s="238"/>
      <c r="L42" s="238"/>
      <c r="M42" s="238"/>
      <c r="N42" s="238"/>
      <c r="O42" s="238"/>
      <c r="P42" s="238"/>
      <c r="Q42" s="238"/>
      <c r="R42" s="238"/>
      <c r="S42" s="238"/>
      <c r="T42" s="238"/>
      <c r="U42" s="238"/>
      <c r="V42" s="238"/>
      <c r="W42" s="238"/>
      <c r="X42" s="238"/>
      <c r="Y42" s="238"/>
      <c r="Z42" s="238"/>
      <c r="AA42" s="238"/>
      <c r="AB42" s="238"/>
    </row>
    <row r="43" spans="1:30" ht="62" x14ac:dyDescent="0.35">
      <c r="A43" s="6" t="s">
        <v>261</v>
      </c>
      <c r="B43" s="7" t="s">
        <v>33</v>
      </c>
      <c r="C43" s="7"/>
      <c r="D43" s="7"/>
      <c r="E43" s="8"/>
      <c r="F43" s="262"/>
      <c r="G43" s="262"/>
      <c r="H43" s="262"/>
      <c r="I43" s="262"/>
      <c r="J43" s="262"/>
      <c r="K43" s="236"/>
      <c r="L43" s="236"/>
      <c r="M43" s="236"/>
      <c r="N43" s="236"/>
      <c r="O43" s="236"/>
      <c r="P43" s="236"/>
      <c r="Q43" s="236"/>
      <c r="R43" s="236"/>
      <c r="S43" s="236"/>
      <c r="T43" s="236"/>
      <c r="U43" s="236"/>
      <c r="V43" s="236"/>
      <c r="W43" s="236"/>
      <c r="X43" s="236"/>
      <c r="Y43" s="236"/>
      <c r="Z43" s="236"/>
      <c r="AA43" s="236"/>
      <c r="AB43" s="236"/>
    </row>
    <row r="44" spans="1:30" ht="69.650000000000006" customHeight="1" thickBot="1" x14ac:dyDescent="0.4">
      <c r="A44" s="9" t="s">
        <v>227</v>
      </c>
      <c r="B44" s="10"/>
      <c r="C44" s="10"/>
      <c r="D44" s="10"/>
      <c r="E44" s="11"/>
      <c r="F44" s="262"/>
      <c r="G44" s="262"/>
      <c r="H44" s="262"/>
      <c r="I44" s="262"/>
      <c r="J44" s="262"/>
      <c r="K44" s="236"/>
      <c r="L44" s="236"/>
      <c r="M44" s="236"/>
      <c r="N44" s="236"/>
      <c r="O44" s="236"/>
      <c r="P44" s="236"/>
      <c r="Q44" s="236"/>
      <c r="R44" s="236"/>
      <c r="S44" s="236"/>
      <c r="T44" s="236"/>
      <c r="U44" s="236"/>
      <c r="V44" s="236"/>
      <c r="W44" s="236"/>
      <c r="X44" s="236"/>
      <c r="Y44" s="236"/>
      <c r="Z44" s="236"/>
      <c r="AA44" s="236"/>
      <c r="AB44" s="236"/>
    </row>
    <row r="45" spans="1:30" x14ac:dyDescent="0.35">
      <c r="A45" s="245"/>
      <c r="B45" s="245"/>
      <c r="C45" s="245"/>
      <c r="D45" s="245"/>
      <c r="E45" s="245"/>
      <c r="F45" s="245"/>
      <c r="G45" s="245"/>
      <c r="H45" s="245"/>
      <c r="I45" s="245"/>
      <c r="J45" s="245"/>
      <c r="K45" s="236"/>
      <c r="L45" s="236"/>
      <c r="M45" s="236"/>
      <c r="N45" s="236"/>
      <c r="O45" s="236"/>
      <c r="P45" s="236"/>
      <c r="Q45" s="236"/>
      <c r="R45" s="236"/>
      <c r="S45" s="236"/>
      <c r="T45" s="236"/>
      <c r="U45" s="236"/>
      <c r="V45" s="236"/>
      <c r="W45" s="236"/>
      <c r="X45" s="236"/>
      <c r="Y45" s="236"/>
      <c r="Z45" s="236"/>
      <c r="AA45" s="236"/>
      <c r="AB45" s="236"/>
    </row>
    <row r="46" spans="1:30" ht="13.5" customHeight="1" x14ac:dyDescent="0.35">
      <c r="A46" s="245"/>
      <c r="B46" s="245"/>
      <c r="C46" s="245"/>
      <c r="D46" s="245"/>
      <c r="E46" s="245"/>
      <c r="F46" s="245"/>
      <c r="G46" s="245"/>
      <c r="H46" s="245"/>
      <c r="I46" s="245"/>
      <c r="J46" s="245"/>
      <c r="K46" s="236"/>
      <c r="L46" s="236"/>
      <c r="M46" s="236"/>
      <c r="N46" s="236"/>
      <c r="O46" s="236"/>
      <c r="P46" s="236"/>
      <c r="Q46" s="236"/>
      <c r="R46" s="236"/>
      <c r="S46" s="236"/>
      <c r="T46" s="236"/>
      <c r="U46" s="236"/>
      <c r="V46" s="236"/>
      <c r="W46" s="236"/>
      <c r="X46" s="236"/>
      <c r="Y46" s="236"/>
      <c r="Z46" s="236"/>
      <c r="AA46" s="236"/>
      <c r="AB46" s="236"/>
    </row>
    <row r="47" spans="1:30" hidden="1" x14ac:dyDescent="0.35">
      <c r="A47" s="245"/>
      <c r="B47" s="245"/>
      <c r="C47" s="245"/>
      <c r="D47" s="245"/>
      <c r="E47" s="245"/>
      <c r="F47" s="245"/>
      <c r="G47" s="245"/>
      <c r="H47" s="245"/>
      <c r="I47" s="245"/>
      <c r="J47" s="245"/>
      <c r="K47" s="236"/>
      <c r="L47" s="236"/>
      <c r="M47" s="236"/>
      <c r="N47" s="236"/>
      <c r="O47" s="236"/>
      <c r="P47" s="236"/>
      <c r="Q47" s="236"/>
      <c r="R47" s="236"/>
      <c r="S47" s="236"/>
      <c r="T47" s="236"/>
      <c r="U47" s="236"/>
      <c r="V47" s="236"/>
      <c r="W47" s="236"/>
      <c r="X47" s="236"/>
      <c r="Y47" s="236"/>
      <c r="Z47" s="236"/>
      <c r="AA47" s="236"/>
      <c r="AB47" s="236"/>
    </row>
    <row r="48" spans="1:30" hidden="1" x14ac:dyDescent="0.35">
      <c r="A48" s="245"/>
      <c r="B48" s="245"/>
      <c r="C48" s="245"/>
      <c r="D48" s="245"/>
      <c r="E48" s="245"/>
      <c r="F48" s="245"/>
      <c r="G48" s="245"/>
      <c r="H48" s="245"/>
      <c r="I48" s="245"/>
      <c r="J48" s="245"/>
      <c r="K48" s="236"/>
      <c r="L48" s="236"/>
      <c r="M48" s="236"/>
      <c r="N48" s="236"/>
      <c r="O48" s="236"/>
      <c r="P48" s="236"/>
      <c r="Q48" s="236"/>
      <c r="R48" s="236"/>
      <c r="S48" s="236"/>
      <c r="T48" s="236"/>
      <c r="U48" s="236"/>
      <c r="V48" s="236"/>
      <c r="W48" s="236"/>
      <c r="X48" s="236"/>
      <c r="Y48" s="236"/>
      <c r="Z48" s="236"/>
      <c r="AA48" s="236"/>
      <c r="AB48" s="236"/>
    </row>
    <row r="49" spans="1:30" hidden="1" x14ac:dyDescent="0.35">
      <c r="A49" s="245"/>
      <c r="B49" s="245"/>
      <c r="C49" s="245"/>
      <c r="D49" s="245"/>
      <c r="E49" s="245"/>
      <c r="F49" s="245"/>
      <c r="G49" s="245"/>
      <c r="H49" s="245"/>
      <c r="I49" s="245"/>
      <c r="J49" s="245"/>
      <c r="K49" s="236"/>
      <c r="L49" s="236"/>
      <c r="M49" s="236"/>
      <c r="N49" s="236"/>
      <c r="O49" s="236"/>
      <c r="P49" s="236"/>
      <c r="Q49" s="236"/>
      <c r="R49" s="236"/>
      <c r="S49" s="236"/>
      <c r="T49" s="236"/>
      <c r="U49" s="236"/>
      <c r="V49" s="236"/>
      <c r="W49" s="236"/>
      <c r="X49" s="236"/>
      <c r="Y49" s="236"/>
      <c r="Z49" s="236"/>
      <c r="AA49" s="236"/>
      <c r="AB49" s="236"/>
    </row>
    <row r="50" spans="1:30" s="4" customFormat="1" ht="19" thickBot="1" x14ac:dyDescent="0.5">
      <c r="A50" s="4" t="s">
        <v>3</v>
      </c>
      <c r="B50" s="4" t="s">
        <v>4</v>
      </c>
      <c r="C50" s="4" t="s">
        <v>230</v>
      </c>
      <c r="D50" s="4" t="s">
        <v>231</v>
      </c>
      <c r="E50" s="4" t="s">
        <v>232</v>
      </c>
      <c r="F50" s="4" t="s">
        <v>233</v>
      </c>
      <c r="G50" s="4" t="s">
        <v>234</v>
      </c>
      <c r="H50" s="4" t="s">
        <v>235</v>
      </c>
      <c r="I50" s="4" t="s">
        <v>236</v>
      </c>
      <c r="J50" s="4" t="s">
        <v>253</v>
      </c>
      <c r="K50" s="4" t="s">
        <v>238</v>
      </c>
      <c r="L50" s="4" t="s">
        <v>6</v>
      </c>
      <c r="M50" s="238"/>
      <c r="N50" s="238"/>
      <c r="O50" s="238"/>
      <c r="P50" s="238"/>
      <c r="Q50" s="238"/>
      <c r="R50" s="238"/>
      <c r="S50" s="238"/>
      <c r="T50" s="238"/>
      <c r="U50" s="238"/>
      <c r="V50" s="238"/>
      <c r="W50" s="238"/>
      <c r="X50" s="238"/>
      <c r="Y50" s="238"/>
      <c r="Z50" s="238"/>
      <c r="AA50" s="238"/>
      <c r="AB50" s="238"/>
      <c r="AC50" s="238"/>
      <c r="AD50" s="238"/>
    </row>
    <row r="51" spans="1:30" ht="65.150000000000006" customHeight="1" x14ac:dyDescent="0.45">
      <c r="A51" s="33" t="s">
        <v>262</v>
      </c>
      <c r="B51" s="94" t="s">
        <v>45</v>
      </c>
      <c r="C51" s="7"/>
      <c r="D51" s="7"/>
      <c r="E51" s="7"/>
      <c r="F51" s="7"/>
      <c r="G51" s="7"/>
      <c r="H51" s="7"/>
      <c r="I51" s="85" t="s">
        <v>46</v>
      </c>
      <c r="J51" s="7"/>
      <c r="K51" s="74" t="s">
        <v>33</v>
      </c>
      <c r="L51" s="82" t="s">
        <v>47</v>
      </c>
      <c r="M51" s="236"/>
      <c r="N51" s="236"/>
      <c r="O51" s="236"/>
      <c r="P51" s="236"/>
      <c r="Q51" s="236"/>
      <c r="R51" s="236"/>
      <c r="S51" s="236"/>
      <c r="T51" s="236"/>
      <c r="U51" s="236"/>
      <c r="V51" s="236"/>
      <c r="W51" s="236"/>
      <c r="X51" s="236"/>
      <c r="Y51" s="236"/>
      <c r="Z51" s="236"/>
      <c r="AA51" s="236"/>
      <c r="AB51" s="236"/>
      <c r="AC51" s="236"/>
      <c r="AD51" s="236"/>
    </row>
    <row r="52" spans="1:30" ht="64.5" customHeight="1" x14ac:dyDescent="0.45">
      <c r="A52" s="34" t="s">
        <v>263</v>
      </c>
      <c r="B52" s="95" t="s">
        <v>49</v>
      </c>
      <c r="I52" s="27" t="s">
        <v>46</v>
      </c>
      <c r="K52" s="75" t="s">
        <v>33</v>
      </c>
      <c r="L52" s="1" t="s">
        <v>50</v>
      </c>
      <c r="M52" s="236"/>
      <c r="N52" s="236"/>
      <c r="O52" s="236"/>
      <c r="P52" s="236"/>
      <c r="Q52" s="236"/>
      <c r="R52" s="236"/>
      <c r="S52" s="236"/>
      <c r="T52" s="236"/>
      <c r="U52" s="236"/>
      <c r="V52" s="236"/>
      <c r="W52" s="236"/>
      <c r="X52" s="236"/>
      <c r="Y52" s="236"/>
      <c r="Z52" s="236"/>
      <c r="AA52" s="236"/>
      <c r="AB52" s="236"/>
      <c r="AC52" s="236"/>
      <c r="AD52" s="236"/>
    </row>
    <row r="53" spans="1:30" s="2" customFormat="1" ht="54.65" customHeight="1" x14ac:dyDescent="0.45">
      <c r="A53" s="35" t="s">
        <v>264</v>
      </c>
      <c r="B53" s="95" t="s">
        <v>52</v>
      </c>
      <c r="I53" s="27" t="s">
        <v>46</v>
      </c>
      <c r="K53" s="76" t="s">
        <v>33</v>
      </c>
      <c r="L53" s="78" t="s">
        <v>53</v>
      </c>
      <c r="M53" s="21"/>
      <c r="N53" s="21"/>
      <c r="O53" s="21"/>
      <c r="P53" s="21"/>
      <c r="Q53" s="21"/>
      <c r="R53" s="21"/>
      <c r="S53" s="21"/>
      <c r="T53" s="21"/>
      <c r="U53" s="21"/>
      <c r="V53" s="21"/>
      <c r="W53" s="21"/>
      <c r="X53" s="21"/>
      <c r="Y53" s="21"/>
      <c r="Z53" s="21"/>
      <c r="AA53" s="21"/>
      <c r="AB53" s="21"/>
      <c r="AC53" s="21"/>
      <c r="AD53" s="21"/>
    </row>
    <row r="54" spans="1:30" s="2" customFormat="1" ht="55.5" customHeight="1" x14ac:dyDescent="0.45">
      <c r="A54" s="35" t="s">
        <v>265</v>
      </c>
      <c r="B54" s="95" t="s">
        <v>55</v>
      </c>
      <c r="I54" s="27" t="s">
        <v>46</v>
      </c>
      <c r="K54" s="76" t="s">
        <v>33</v>
      </c>
      <c r="L54" s="78" t="s">
        <v>56</v>
      </c>
      <c r="M54" s="21"/>
      <c r="N54" s="21"/>
      <c r="O54" s="21"/>
      <c r="P54" s="21"/>
      <c r="Q54" s="21"/>
      <c r="R54" s="21"/>
      <c r="S54" s="21"/>
      <c r="T54" s="21"/>
      <c r="U54" s="21"/>
      <c r="V54" s="21"/>
      <c r="W54" s="21"/>
      <c r="X54" s="21"/>
      <c r="Y54" s="21"/>
      <c r="Z54" s="21"/>
      <c r="AA54" s="21"/>
      <c r="AB54" s="21"/>
      <c r="AC54" s="21"/>
      <c r="AD54" s="21"/>
    </row>
    <row r="55" spans="1:30" ht="52" customHeight="1" x14ac:dyDescent="0.45">
      <c r="A55" s="34" t="s">
        <v>266</v>
      </c>
      <c r="B55" s="95" t="s">
        <v>58</v>
      </c>
      <c r="I55" s="27" t="s">
        <v>46</v>
      </c>
      <c r="K55" s="76" t="s">
        <v>33</v>
      </c>
      <c r="L55" s="78" t="s">
        <v>59</v>
      </c>
      <c r="M55" s="236"/>
      <c r="N55" s="236"/>
      <c r="O55" s="236"/>
      <c r="P55" s="236"/>
      <c r="Q55" s="236"/>
      <c r="R55" s="236"/>
      <c r="S55" s="236"/>
      <c r="T55" s="236"/>
      <c r="U55" s="236"/>
      <c r="V55" s="236"/>
      <c r="W55" s="236"/>
      <c r="X55" s="236"/>
      <c r="Y55" s="236"/>
      <c r="Z55" s="236"/>
      <c r="AA55" s="236"/>
      <c r="AB55" s="236"/>
      <c r="AC55" s="236"/>
      <c r="AD55" s="236"/>
    </row>
    <row r="56" spans="1:30" ht="62.5" customHeight="1" x14ac:dyDescent="0.45">
      <c r="A56" s="34" t="s">
        <v>267</v>
      </c>
      <c r="B56" s="95" t="s">
        <v>93</v>
      </c>
      <c r="I56" s="27" t="s">
        <v>75</v>
      </c>
      <c r="K56" s="76" t="s">
        <v>33</v>
      </c>
      <c r="L56" s="78" t="s">
        <v>94</v>
      </c>
      <c r="M56" s="236"/>
      <c r="N56" s="236"/>
      <c r="O56" s="236"/>
      <c r="P56" s="236"/>
      <c r="Q56" s="236"/>
      <c r="R56" s="236"/>
      <c r="S56" s="236"/>
      <c r="T56" s="236"/>
      <c r="U56" s="236"/>
      <c r="V56" s="236"/>
      <c r="W56" s="236"/>
      <c r="X56" s="236"/>
      <c r="Y56" s="236"/>
      <c r="Z56" s="236"/>
      <c r="AA56" s="236"/>
      <c r="AB56" s="236"/>
      <c r="AC56" s="236"/>
      <c r="AD56" s="236"/>
    </row>
    <row r="57" spans="1:30" s="2" customFormat="1" ht="18.5" x14ac:dyDescent="0.45">
      <c r="A57" s="132" t="s">
        <v>268</v>
      </c>
      <c r="B57" s="108" t="s">
        <v>240</v>
      </c>
      <c r="C57" s="106"/>
      <c r="D57" s="106"/>
      <c r="E57" s="106"/>
      <c r="F57" s="106"/>
      <c r="G57" s="106"/>
      <c r="H57" s="106"/>
      <c r="I57" s="119"/>
      <c r="J57" s="106"/>
      <c r="K57" s="129"/>
      <c r="L57" s="133"/>
      <c r="M57" s="21"/>
      <c r="N57" s="21"/>
      <c r="O57" s="21"/>
      <c r="P57" s="21"/>
      <c r="Q57" s="21"/>
      <c r="R57" s="21"/>
      <c r="S57" s="21"/>
      <c r="T57" s="21"/>
      <c r="U57" s="21"/>
      <c r="V57" s="21"/>
      <c r="W57" s="21"/>
      <c r="X57" s="21"/>
      <c r="Y57" s="21"/>
      <c r="Z57" s="21"/>
      <c r="AA57" s="21"/>
      <c r="AB57" s="21"/>
      <c r="AC57" s="21"/>
      <c r="AD57" s="21"/>
    </row>
    <row r="58" spans="1:30" s="2" customFormat="1" ht="18.5" x14ac:dyDescent="0.45">
      <c r="A58" s="132" t="s">
        <v>269</v>
      </c>
      <c r="B58" s="108" t="s">
        <v>240</v>
      </c>
      <c r="C58" s="106"/>
      <c r="D58" s="106"/>
      <c r="E58" s="106"/>
      <c r="F58" s="106"/>
      <c r="G58" s="106"/>
      <c r="H58" s="106"/>
      <c r="I58" s="119"/>
      <c r="J58" s="106"/>
      <c r="K58" s="129"/>
      <c r="L58" s="133"/>
      <c r="M58" s="21"/>
      <c r="N58" s="21"/>
      <c r="O58" s="21"/>
      <c r="P58" s="21"/>
      <c r="Q58" s="21"/>
      <c r="R58" s="21"/>
      <c r="S58" s="21"/>
      <c r="T58" s="21"/>
      <c r="U58" s="21"/>
      <c r="V58" s="21"/>
      <c r="W58" s="21"/>
      <c r="X58" s="21"/>
      <c r="Y58" s="21"/>
      <c r="Z58" s="21"/>
      <c r="AA58" s="21"/>
      <c r="AB58" s="21"/>
      <c r="AC58" s="21"/>
      <c r="AD58" s="21"/>
    </row>
    <row r="59" spans="1:30" s="2" customFormat="1" ht="77.5" x14ac:dyDescent="0.45">
      <c r="A59" s="35" t="s">
        <v>270</v>
      </c>
      <c r="B59" s="95" t="s">
        <v>95</v>
      </c>
      <c r="I59" s="27" t="s">
        <v>75</v>
      </c>
      <c r="K59" s="76" t="s">
        <v>33</v>
      </c>
      <c r="L59" s="78" t="s">
        <v>79</v>
      </c>
      <c r="M59" s="21"/>
      <c r="N59" s="21"/>
      <c r="O59" s="21"/>
      <c r="P59" s="21"/>
      <c r="Q59" s="21"/>
      <c r="R59" s="21"/>
      <c r="S59" s="21"/>
      <c r="T59" s="21"/>
      <c r="U59" s="21"/>
      <c r="V59" s="21"/>
      <c r="W59" s="21"/>
      <c r="X59" s="21"/>
      <c r="Y59" s="21"/>
      <c r="Z59" s="21"/>
      <c r="AA59" s="21"/>
      <c r="AB59" s="21"/>
      <c r="AC59" s="21"/>
      <c r="AD59" s="21"/>
    </row>
    <row r="60" spans="1:30" s="2" customFormat="1" ht="62.5" thickBot="1" x14ac:dyDescent="0.5">
      <c r="A60" s="38" t="s">
        <v>271</v>
      </c>
      <c r="B60" s="96" t="s">
        <v>22</v>
      </c>
      <c r="C60" s="19"/>
      <c r="D60" s="19"/>
      <c r="E60" s="19"/>
      <c r="F60" s="19"/>
      <c r="G60" s="19"/>
      <c r="H60" s="19"/>
      <c r="I60" s="86" t="s">
        <v>23</v>
      </c>
      <c r="J60" s="19"/>
      <c r="K60" s="79" t="s">
        <v>33</v>
      </c>
      <c r="L60" s="84" t="s">
        <v>24</v>
      </c>
      <c r="M60" s="21"/>
      <c r="N60" s="21"/>
      <c r="O60" s="21"/>
      <c r="P60" s="21"/>
      <c r="Q60" s="21"/>
      <c r="R60" s="21"/>
      <c r="S60" s="21"/>
      <c r="T60" s="21"/>
      <c r="U60" s="21"/>
      <c r="V60" s="21"/>
      <c r="W60" s="21"/>
      <c r="X60" s="21"/>
      <c r="Y60" s="21"/>
      <c r="Z60" s="21"/>
      <c r="AA60" s="21"/>
      <c r="AB60" s="21"/>
      <c r="AC60" s="21"/>
      <c r="AD60" s="21"/>
    </row>
    <row r="61" spans="1:30" x14ac:dyDescent="0.35">
      <c r="A61" s="245"/>
      <c r="B61" s="245"/>
      <c r="C61" s="245"/>
      <c r="D61" s="245"/>
      <c r="E61" s="245"/>
      <c r="F61" s="245"/>
      <c r="G61" s="245"/>
      <c r="H61" s="245"/>
      <c r="I61" s="245"/>
      <c r="J61" s="245"/>
      <c r="K61" s="236"/>
      <c r="L61" s="236"/>
      <c r="M61" s="236"/>
      <c r="N61" s="236"/>
      <c r="O61" s="236"/>
      <c r="P61" s="236"/>
      <c r="Q61" s="236"/>
      <c r="R61" s="236"/>
      <c r="S61" s="236"/>
      <c r="T61" s="236"/>
      <c r="U61" s="236"/>
      <c r="V61" s="236"/>
      <c r="W61" s="236"/>
      <c r="X61" s="236"/>
      <c r="Y61" s="236"/>
      <c r="Z61" s="236"/>
      <c r="AA61" s="236"/>
      <c r="AB61" s="236"/>
    </row>
    <row r="62" spans="1:30" ht="15" thickBot="1" x14ac:dyDescent="0.4">
      <c r="A62" s="252"/>
      <c r="B62" s="252"/>
      <c r="C62" s="252"/>
      <c r="D62" s="252"/>
      <c r="E62" s="252"/>
      <c r="F62" s="245"/>
      <c r="G62" s="245"/>
      <c r="H62" s="245"/>
      <c r="I62" s="245"/>
      <c r="J62" s="245"/>
      <c r="K62" s="236"/>
      <c r="L62" s="236"/>
      <c r="M62" s="236"/>
      <c r="N62" s="236"/>
      <c r="O62" s="236"/>
      <c r="P62" s="236"/>
      <c r="Q62" s="236"/>
      <c r="R62" s="236"/>
      <c r="S62" s="236"/>
      <c r="T62" s="236"/>
      <c r="U62" s="236"/>
      <c r="V62" s="236"/>
      <c r="W62" s="236"/>
      <c r="X62" s="236"/>
      <c r="Y62" s="236"/>
      <c r="Z62" s="236"/>
      <c r="AA62" s="236"/>
      <c r="AB62" s="236"/>
    </row>
    <row r="63" spans="1:30" ht="31.5" thickBot="1" x14ac:dyDescent="0.75">
      <c r="A63" s="253" t="s">
        <v>272</v>
      </c>
      <c r="B63" s="254"/>
      <c r="C63" s="254"/>
      <c r="D63" s="254"/>
      <c r="E63" s="255"/>
      <c r="F63" s="245"/>
      <c r="G63" s="245"/>
      <c r="H63" s="245"/>
      <c r="I63" s="245"/>
      <c r="J63" s="245"/>
      <c r="K63" s="236"/>
      <c r="L63" s="236"/>
      <c r="M63" s="236"/>
      <c r="N63" s="236"/>
      <c r="O63" s="236"/>
      <c r="P63" s="236"/>
      <c r="Q63" s="236"/>
      <c r="R63" s="236"/>
      <c r="S63" s="236"/>
      <c r="T63" s="236"/>
      <c r="U63" s="236"/>
      <c r="V63" s="236"/>
      <c r="W63" s="236"/>
      <c r="X63" s="236"/>
      <c r="Y63" s="236"/>
      <c r="Z63" s="236"/>
      <c r="AA63" s="236"/>
      <c r="AB63" s="236"/>
    </row>
    <row r="64" spans="1:30" ht="31.5" thickBot="1" x14ac:dyDescent="0.75">
      <c r="A64" s="237" t="s">
        <v>273</v>
      </c>
      <c r="B64" s="237"/>
      <c r="C64" s="237"/>
      <c r="D64" s="237"/>
      <c r="E64" s="237"/>
      <c r="F64" s="245"/>
      <c r="G64" s="245"/>
      <c r="H64" s="245"/>
      <c r="I64" s="245"/>
      <c r="J64" s="245"/>
      <c r="K64" s="236"/>
      <c r="L64" s="236"/>
      <c r="M64" s="236"/>
      <c r="N64" s="236"/>
      <c r="O64" s="236"/>
      <c r="P64" s="236"/>
      <c r="Q64" s="236"/>
      <c r="R64" s="236"/>
      <c r="S64" s="236"/>
      <c r="T64" s="236"/>
      <c r="U64" s="236"/>
      <c r="V64" s="236"/>
      <c r="W64" s="236"/>
      <c r="X64" s="236"/>
      <c r="Y64" s="236"/>
      <c r="Z64" s="236"/>
      <c r="AA64" s="236"/>
      <c r="AB64" s="236"/>
    </row>
    <row r="65" spans="1:28" ht="24.65" customHeight="1" thickBot="1" x14ac:dyDescent="0.4">
      <c r="A65" s="256"/>
      <c r="B65" s="256"/>
      <c r="C65" s="256"/>
      <c r="D65" s="256"/>
      <c r="E65" s="256"/>
      <c r="F65" s="245"/>
      <c r="G65" s="245"/>
      <c r="H65" s="245"/>
      <c r="I65" s="245"/>
      <c r="J65" s="245"/>
      <c r="K65" s="236"/>
      <c r="L65" s="236"/>
      <c r="M65" s="236"/>
      <c r="N65" s="236"/>
      <c r="O65" s="236"/>
      <c r="P65" s="236"/>
      <c r="Q65" s="236"/>
      <c r="R65" s="236"/>
      <c r="S65" s="236"/>
      <c r="T65" s="236"/>
      <c r="U65" s="236"/>
      <c r="V65" s="236"/>
      <c r="W65" s="236"/>
      <c r="X65" s="236"/>
      <c r="Y65" s="236"/>
      <c r="Z65" s="236"/>
      <c r="AA65" s="236"/>
      <c r="AB65" s="236"/>
    </row>
    <row r="66" spans="1:28" ht="33.5" x14ac:dyDescent="0.75">
      <c r="A66" s="246" t="s">
        <v>274</v>
      </c>
      <c r="B66" s="247"/>
      <c r="C66" s="247"/>
      <c r="D66" s="247"/>
      <c r="E66" s="248"/>
      <c r="F66" s="245"/>
      <c r="G66" s="245"/>
      <c r="H66" s="245"/>
      <c r="I66" s="245"/>
      <c r="J66" s="245"/>
      <c r="K66" s="236"/>
      <c r="L66" s="236"/>
      <c r="M66" s="236"/>
      <c r="N66" s="236"/>
      <c r="O66" s="236"/>
      <c r="P66" s="236"/>
      <c r="Q66" s="236"/>
      <c r="R66" s="236"/>
      <c r="S66" s="236"/>
      <c r="T66" s="236"/>
      <c r="U66" s="236"/>
      <c r="V66" s="236"/>
      <c r="W66" s="236"/>
      <c r="X66" s="236"/>
      <c r="Y66" s="236"/>
      <c r="Z66" s="236"/>
      <c r="AA66" s="236"/>
      <c r="AB66" s="236"/>
    </row>
    <row r="67" spans="1:28" s="4" customFormat="1" ht="18.5" x14ac:dyDescent="0.45">
      <c r="A67" s="16" t="s">
        <v>223</v>
      </c>
      <c r="B67" s="4" t="s">
        <v>224</v>
      </c>
      <c r="C67" s="4" t="s">
        <v>225</v>
      </c>
      <c r="D67" s="4" t="s">
        <v>226</v>
      </c>
      <c r="E67" s="17" t="s">
        <v>227</v>
      </c>
      <c r="F67" s="245"/>
      <c r="G67" s="245"/>
      <c r="H67" s="245"/>
      <c r="I67" s="245"/>
      <c r="J67" s="245"/>
      <c r="K67" s="238"/>
      <c r="L67" s="238"/>
      <c r="M67" s="238"/>
      <c r="N67" s="238"/>
      <c r="O67" s="238"/>
      <c r="P67" s="238"/>
      <c r="Q67" s="238"/>
      <c r="R67" s="238"/>
      <c r="S67" s="238"/>
      <c r="T67" s="238"/>
      <c r="U67" s="238"/>
      <c r="V67" s="238"/>
      <c r="W67" s="238"/>
      <c r="X67" s="238"/>
      <c r="Y67" s="238"/>
      <c r="Z67" s="238"/>
      <c r="AA67" s="238"/>
      <c r="AB67" s="238"/>
    </row>
    <row r="68" spans="1:28" ht="43.5" x14ac:dyDescent="0.35">
      <c r="A68" s="18" t="s">
        <v>275</v>
      </c>
      <c r="E68" s="14"/>
      <c r="F68" s="245"/>
      <c r="G68" s="245"/>
      <c r="H68" s="245"/>
      <c r="I68" s="245"/>
      <c r="J68" s="245"/>
      <c r="K68" s="236"/>
      <c r="L68" s="236"/>
      <c r="M68" s="236"/>
      <c r="N68" s="236"/>
      <c r="O68" s="236"/>
      <c r="P68" s="236"/>
      <c r="Q68" s="236"/>
      <c r="R68" s="236"/>
      <c r="S68" s="236"/>
      <c r="T68" s="236"/>
      <c r="U68" s="236"/>
      <c r="V68" s="236"/>
      <c r="W68" s="236"/>
      <c r="X68" s="236"/>
      <c r="Y68" s="236"/>
      <c r="Z68" s="236"/>
      <c r="AA68" s="236"/>
      <c r="AB68" s="236"/>
    </row>
    <row r="69" spans="1:28" ht="75" customHeight="1" thickBot="1" x14ac:dyDescent="0.4">
      <c r="A69" s="9"/>
      <c r="B69" s="10"/>
      <c r="C69" s="10"/>
      <c r="D69" s="10"/>
      <c r="E69" s="11"/>
      <c r="F69" s="245"/>
      <c r="G69" s="245"/>
      <c r="H69" s="245"/>
      <c r="I69" s="245"/>
      <c r="J69" s="245"/>
      <c r="K69" s="236"/>
      <c r="L69" s="236"/>
      <c r="M69" s="236"/>
      <c r="N69" s="236"/>
      <c r="O69" s="236"/>
      <c r="P69" s="236"/>
      <c r="Q69" s="236"/>
      <c r="R69" s="236"/>
      <c r="S69" s="236"/>
      <c r="T69" s="236"/>
      <c r="U69" s="236"/>
      <c r="V69" s="236"/>
      <c r="W69" s="236"/>
      <c r="X69" s="236"/>
      <c r="Y69" s="236"/>
      <c r="Z69" s="236"/>
      <c r="AA69" s="236"/>
      <c r="AB69" s="236"/>
    </row>
    <row r="70" spans="1:28" ht="21.65" customHeight="1" x14ac:dyDescent="0.35">
      <c r="A70" s="245"/>
      <c r="B70" s="245"/>
      <c r="C70" s="245"/>
      <c r="D70" s="245"/>
      <c r="E70" s="245"/>
      <c r="F70" s="245"/>
      <c r="G70" s="245"/>
      <c r="H70" s="245"/>
      <c r="I70" s="245"/>
      <c r="J70" s="245"/>
      <c r="K70" s="236"/>
      <c r="L70" s="236"/>
      <c r="M70" s="236"/>
      <c r="N70" s="236"/>
      <c r="O70" s="236"/>
      <c r="P70" s="236"/>
      <c r="Q70" s="236"/>
      <c r="R70" s="236"/>
      <c r="S70" s="236"/>
      <c r="T70" s="236"/>
      <c r="U70" s="236"/>
      <c r="V70" s="236"/>
      <c r="W70" s="236"/>
      <c r="X70" s="236"/>
      <c r="Y70" s="236"/>
      <c r="Z70" s="236"/>
      <c r="AA70" s="236"/>
      <c r="AB70" s="236"/>
    </row>
    <row r="71" spans="1:28" s="4" customFormat="1" ht="19" thickBot="1" x14ac:dyDescent="0.5">
      <c r="A71" s="4" t="s">
        <v>3</v>
      </c>
      <c r="B71" s="4" t="s">
        <v>4</v>
      </c>
      <c r="C71" s="4" t="s">
        <v>276</v>
      </c>
      <c r="D71" s="4" t="s">
        <v>277</v>
      </c>
      <c r="E71" s="4" t="s">
        <v>278</v>
      </c>
      <c r="F71" s="4" t="s">
        <v>6</v>
      </c>
      <c r="G71" s="238"/>
      <c r="H71" s="238"/>
      <c r="I71" s="238"/>
      <c r="J71" s="238"/>
      <c r="K71" s="238"/>
      <c r="L71" s="238"/>
      <c r="M71" s="238"/>
      <c r="N71" s="238"/>
      <c r="O71" s="238"/>
      <c r="P71" s="238"/>
      <c r="Q71" s="238"/>
      <c r="R71" s="238"/>
      <c r="S71" s="238"/>
      <c r="T71" s="238"/>
      <c r="U71" s="238"/>
      <c r="V71" s="238"/>
      <c r="W71" s="238"/>
      <c r="X71" s="238"/>
    </row>
    <row r="72" spans="1:28" ht="18.5" x14ac:dyDescent="0.45">
      <c r="A72" s="131" t="s">
        <v>279</v>
      </c>
      <c r="B72" s="122" t="s">
        <v>240</v>
      </c>
      <c r="C72" s="116"/>
      <c r="D72" s="116"/>
      <c r="E72" s="135"/>
      <c r="F72" s="136"/>
      <c r="G72" s="236"/>
      <c r="H72" s="236"/>
      <c r="I72" s="236"/>
      <c r="J72" s="236"/>
      <c r="K72" s="236"/>
      <c r="L72" s="236"/>
      <c r="M72" s="236"/>
      <c r="N72" s="236"/>
      <c r="O72" s="236"/>
      <c r="P72" s="236"/>
      <c r="Q72" s="236"/>
      <c r="R72" s="236"/>
      <c r="S72" s="236"/>
      <c r="T72" s="236"/>
      <c r="U72" s="236"/>
      <c r="V72" s="236"/>
      <c r="W72" s="236"/>
      <c r="X72" s="236"/>
    </row>
    <row r="73" spans="1:28" ht="18.5" x14ac:dyDescent="0.45">
      <c r="A73" s="132" t="s">
        <v>280</v>
      </c>
      <c r="B73" s="108" t="s">
        <v>240</v>
      </c>
      <c r="C73" s="106"/>
      <c r="D73" s="106"/>
      <c r="E73" s="134"/>
      <c r="F73" s="137"/>
      <c r="G73" s="236"/>
      <c r="H73" s="236"/>
      <c r="I73" s="236"/>
      <c r="J73" s="236"/>
      <c r="K73" s="236"/>
      <c r="L73" s="236"/>
      <c r="M73" s="236"/>
      <c r="N73" s="236"/>
      <c r="O73" s="236"/>
      <c r="P73" s="236"/>
      <c r="Q73" s="236"/>
      <c r="R73" s="236"/>
      <c r="S73" s="236"/>
      <c r="T73" s="236"/>
      <c r="U73" s="236"/>
      <c r="V73" s="236"/>
      <c r="W73" s="236"/>
      <c r="X73" s="236"/>
    </row>
    <row r="74" spans="1:28" s="2" customFormat="1" ht="18.5" x14ac:dyDescent="0.45">
      <c r="A74" s="132" t="s">
        <v>281</v>
      </c>
      <c r="B74" s="108" t="s">
        <v>240</v>
      </c>
      <c r="C74" s="106"/>
      <c r="D74" s="106"/>
      <c r="E74" s="134"/>
      <c r="F74" s="137"/>
      <c r="G74" s="21"/>
      <c r="H74" s="21"/>
      <c r="I74" s="21"/>
      <c r="J74" s="21"/>
      <c r="K74" s="21"/>
      <c r="L74" s="21"/>
      <c r="M74" s="21"/>
      <c r="N74" s="21"/>
      <c r="O74" s="21"/>
      <c r="P74" s="21"/>
      <c r="Q74" s="21"/>
      <c r="R74" s="21"/>
      <c r="S74" s="21"/>
      <c r="T74" s="21"/>
      <c r="U74" s="21"/>
      <c r="V74" s="21"/>
      <c r="W74" s="21"/>
      <c r="X74" s="21"/>
    </row>
    <row r="75" spans="1:28" ht="18.5" x14ac:dyDescent="0.45">
      <c r="A75" s="132" t="s">
        <v>282</v>
      </c>
      <c r="B75" s="108" t="s">
        <v>240</v>
      </c>
      <c r="C75" s="106"/>
      <c r="D75" s="106"/>
      <c r="E75" s="134"/>
      <c r="F75" s="137"/>
      <c r="G75" s="236"/>
      <c r="H75" s="236"/>
      <c r="I75" s="236"/>
      <c r="J75" s="236"/>
      <c r="K75" s="236"/>
      <c r="L75" s="236"/>
      <c r="M75" s="236"/>
      <c r="N75" s="236"/>
      <c r="O75" s="236"/>
      <c r="P75" s="236"/>
      <c r="Q75" s="236"/>
      <c r="R75" s="236"/>
      <c r="S75" s="236"/>
      <c r="T75" s="236"/>
      <c r="U75" s="236"/>
      <c r="V75" s="236"/>
      <c r="W75" s="236"/>
      <c r="X75" s="236"/>
    </row>
    <row r="76" spans="1:28" ht="18.5" x14ac:dyDescent="0.45">
      <c r="A76" s="132" t="s">
        <v>283</v>
      </c>
      <c r="B76" s="108" t="s">
        <v>240</v>
      </c>
      <c r="C76" s="106"/>
      <c r="D76" s="106"/>
      <c r="E76" s="134"/>
      <c r="F76" s="137"/>
      <c r="G76" s="236"/>
      <c r="H76" s="236"/>
      <c r="I76" s="236"/>
      <c r="J76" s="236"/>
      <c r="K76" s="236"/>
      <c r="L76" s="236"/>
      <c r="M76" s="236"/>
      <c r="N76" s="236"/>
      <c r="O76" s="236"/>
      <c r="P76" s="236"/>
      <c r="Q76" s="236"/>
      <c r="R76" s="236"/>
      <c r="S76" s="236"/>
      <c r="T76" s="236"/>
      <c r="U76" s="236"/>
      <c r="V76" s="236"/>
      <c r="W76" s="236"/>
      <c r="X76" s="236"/>
    </row>
    <row r="77" spans="1:28" ht="18.5" x14ac:dyDescent="0.45">
      <c r="A77" s="132" t="s">
        <v>284</v>
      </c>
      <c r="B77" s="108" t="s">
        <v>240</v>
      </c>
      <c r="C77" s="106"/>
      <c r="D77" s="106"/>
      <c r="E77" s="134"/>
      <c r="F77" s="137"/>
      <c r="G77" s="236"/>
      <c r="H77" s="236"/>
      <c r="I77" s="236"/>
      <c r="J77" s="236"/>
      <c r="K77" s="236"/>
      <c r="L77" s="236"/>
      <c r="M77" s="236"/>
      <c r="N77" s="236"/>
      <c r="O77" s="236"/>
      <c r="P77" s="236"/>
      <c r="Q77" s="236"/>
      <c r="R77" s="236"/>
      <c r="S77" s="236"/>
      <c r="T77" s="236"/>
      <c r="U77" s="236"/>
      <c r="V77" s="236"/>
      <c r="W77" s="236"/>
      <c r="X77" s="236"/>
    </row>
    <row r="78" spans="1:28" ht="18.5" x14ac:dyDescent="0.45">
      <c r="A78" s="132" t="s">
        <v>285</v>
      </c>
      <c r="B78" s="108" t="s">
        <v>240</v>
      </c>
      <c r="C78" s="106"/>
      <c r="D78" s="106"/>
      <c r="E78" s="134"/>
      <c r="F78" s="137"/>
      <c r="G78" s="236"/>
      <c r="H78" s="236"/>
      <c r="I78" s="236"/>
      <c r="J78" s="236"/>
      <c r="K78" s="236"/>
      <c r="L78" s="236"/>
      <c r="M78" s="236"/>
      <c r="N78" s="236"/>
      <c r="O78" s="236"/>
      <c r="P78" s="236"/>
      <c r="Q78" s="236"/>
      <c r="R78" s="236"/>
      <c r="S78" s="236"/>
      <c r="T78" s="236"/>
      <c r="U78" s="236"/>
      <c r="V78" s="236"/>
      <c r="W78" s="236"/>
      <c r="X78" s="236"/>
    </row>
    <row r="79" spans="1:28" s="2" customFormat="1" ht="43.5" customHeight="1" thickBot="1" x14ac:dyDescent="0.5">
      <c r="A79" s="49" t="s">
        <v>286</v>
      </c>
      <c r="B79" s="100" t="s">
        <v>287</v>
      </c>
      <c r="E79" s="69" t="s">
        <v>288</v>
      </c>
      <c r="F79" s="72" t="s">
        <v>289</v>
      </c>
      <c r="G79" s="21"/>
      <c r="H79" s="21"/>
      <c r="I79" s="21"/>
      <c r="J79" s="21"/>
      <c r="K79" s="21"/>
      <c r="L79" s="21"/>
      <c r="M79" s="21"/>
      <c r="N79" s="21"/>
      <c r="O79" s="21"/>
      <c r="P79" s="21"/>
      <c r="Q79" s="21"/>
      <c r="R79" s="21"/>
      <c r="S79" s="21"/>
      <c r="T79" s="21"/>
      <c r="U79" s="21"/>
      <c r="V79" s="21"/>
      <c r="W79" s="21"/>
      <c r="X79" s="21"/>
    </row>
    <row r="80" spans="1:28" s="2" customFormat="1" ht="29.5" thickBot="1" x14ac:dyDescent="0.5">
      <c r="A80" s="49" t="s">
        <v>290</v>
      </c>
      <c r="B80" s="100" t="s">
        <v>291</v>
      </c>
      <c r="E80" s="69">
        <v>915</v>
      </c>
      <c r="F80" s="138" t="s">
        <v>292</v>
      </c>
      <c r="G80" s="21"/>
      <c r="H80" s="21"/>
      <c r="I80" s="21"/>
      <c r="J80" s="21"/>
      <c r="K80" s="21"/>
      <c r="L80" s="21"/>
      <c r="M80" s="21"/>
      <c r="N80" s="21"/>
      <c r="O80" s="21"/>
      <c r="P80" s="21"/>
      <c r="Q80" s="21"/>
      <c r="R80" s="21"/>
      <c r="S80" s="21"/>
      <c r="T80" s="21"/>
      <c r="U80" s="21"/>
      <c r="V80" s="21"/>
      <c r="W80" s="21"/>
      <c r="X80" s="21"/>
    </row>
    <row r="81" spans="1:30" s="2" customFormat="1" ht="19" thickBot="1" x14ac:dyDescent="0.5">
      <c r="A81" s="139" t="s">
        <v>293</v>
      </c>
      <c r="B81" s="140" t="s">
        <v>294</v>
      </c>
      <c r="C81" s="19"/>
      <c r="D81" s="19"/>
      <c r="E81" s="83">
        <v>9</v>
      </c>
      <c r="F81" s="81"/>
      <c r="G81" s="21"/>
      <c r="H81" s="21"/>
      <c r="I81" s="21"/>
      <c r="J81" s="21"/>
      <c r="K81" s="21"/>
      <c r="L81" s="21"/>
      <c r="M81" s="21"/>
      <c r="N81" s="21"/>
      <c r="O81" s="21"/>
      <c r="P81" s="21"/>
      <c r="Q81" s="21"/>
      <c r="R81" s="21"/>
      <c r="S81" s="21"/>
      <c r="T81" s="21"/>
      <c r="U81" s="21"/>
      <c r="V81" s="21"/>
      <c r="W81" s="21"/>
      <c r="X81" s="21"/>
    </row>
    <row r="82" spans="1:30" x14ac:dyDescent="0.35">
      <c r="A82" s="245"/>
      <c r="B82" s="245"/>
      <c r="C82" s="245"/>
      <c r="D82" s="245"/>
      <c r="E82" s="245"/>
      <c r="F82" s="245"/>
      <c r="G82" s="245"/>
      <c r="H82" s="245"/>
      <c r="I82" s="245"/>
      <c r="J82" s="245"/>
      <c r="K82" s="236"/>
      <c r="L82" s="236"/>
      <c r="M82" s="236"/>
      <c r="N82" s="236"/>
      <c r="O82" s="236"/>
      <c r="P82" s="236"/>
      <c r="Q82" s="236"/>
      <c r="R82" s="236"/>
      <c r="S82" s="236"/>
      <c r="T82" s="236"/>
      <c r="U82" s="236"/>
      <c r="V82" s="236"/>
      <c r="W82" s="236"/>
      <c r="X82" s="236"/>
      <c r="Y82" s="236"/>
      <c r="Z82" s="236"/>
      <c r="AA82" s="236"/>
      <c r="AB82" s="236"/>
    </row>
    <row r="83" spans="1:30" ht="8.15" customHeight="1" thickBot="1" x14ac:dyDescent="0.4">
      <c r="A83" s="245"/>
      <c r="B83" s="245"/>
      <c r="C83" s="245"/>
      <c r="D83" s="245"/>
      <c r="E83" s="245"/>
      <c r="F83" s="245"/>
      <c r="G83" s="245"/>
      <c r="H83" s="245"/>
      <c r="I83" s="245"/>
      <c r="J83" s="245"/>
      <c r="K83" s="236"/>
      <c r="L83" s="236"/>
      <c r="M83" s="236"/>
      <c r="N83" s="236"/>
      <c r="O83" s="236"/>
      <c r="P83" s="236"/>
      <c r="Q83" s="236"/>
      <c r="R83" s="236"/>
      <c r="S83" s="236"/>
      <c r="T83" s="236"/>
      <c r="U83" s="236"/>
      <c r="V83" s="236"/>
      <c r="W83" s="236"/>
      <c r="X83" s="236"/>
      <c r="Y83" s="236"/>
      <c r="Z83" s="236"/>
      <c r="AA83" s="236"/>
      <c r="AB83" s="236"/>
    </row>
    <row r="84" spans="1:30" ht="39" customHeight="1" thickBot="1" x14ac:dyDescent="0.8">
      <c r="A84" s="249" t="s">
        <v>295</v>
      </c>
      <c r="B84" s="250"/>
      <c r="C84" s="250"/>
      <c r="D84" s="250"/>
      <c r="E84" s="251"/>
      <c r="F84" s="245"/>
      <c r="G84" s="245"/>
      <c r="H84" s="245"/>
      <c r="I84" s="245"/>
      <c r="J84" s="245"/>
      <c r="K84" s="236"/>
      <c r="L84" s="236"/>
      <c r="M84" s="236"/>
      <c r="N84" s="236"/>
      <c r="O84" s="236"/>
      <c r="P84" s="236"/>
      <c r="Q84" s="236"/>
      <c r="R84" s="236"/>
      <c r="S84" s="236"/>
      <c r="T84" s="236"/>
      <c r="U84" s="236"/>
      <c r="V84" s="236"/>
      <c r="W84" s="236"/>
      <c r="X84" s="236"/>
      <c r="Y84" s="236"/>
      <c r="Z84" s="236"/>
      <c r="AA84" s="236"/>
      <c r="AB84" s="236"/>
    </row>
    <row r="85" spans="1:30" s="4" customFormat="1" ht="19" thickBot="1" x14ac:dyDescent="0.5">
      <c r="A85" s="4" t="s">
        <v>223</v>
      </c>
      <c r="B85" s="4" t="s">
        <v>224</v>
      </c>
      <c r="C85" s="4" t="s">
        <v>225</v>
      </c>
      <c r="D85" s="4" t="s">
        <v>226</v>
      </c>
      <c r="E85" s="4" t="s">
        <v>227</v>
      </c>
      <c r="F85" s="245"/>
      <c r="G85" s="245"/>
      <c r="H85" s="245"/>
      <c r="I85" s="245"/>
      <c r="J85" s="245"/>
      <c r="K85" s="238"/>
      <c r="L85" s="238"/>
      <c r="M85" s="238"/>
      <c r="N85" s="238"/>
      <c r="O85" s="238"/>
      <c r="P85" s="238"/>
      <c r="Q85" s="238"/>
      <c r="R85" s="238"/>
      <c r="S85" s="238"/>
      <c r="T85" s="238"/>
      <c r="U85" s="238"/>
      <c r="V85" s="238"/>
      <c r="W85" s="238"/>
      <c r="X85" s="238"/>
      <c r="Y85" s="238"/>
      <c r="Z85" s="238"/>
      <c r="AA85" s="238"/>
      <c r="AB85" s="238"/>
    </row>
    <row r="86" spans="1:30" ht="29" x14ac:dyDescent="0.35">
      <c r="A86" s="20" t="s">
        <v>296</v>
      </c>
      <c r="B86" s="7"/>
      <c r="C86" s="7"/>
      <c r="D86" s="7"/>
      <c r="E86" s="8"/>
      <c r="F86" s="245"/>
      <c r="G86" s="245"/>
      <c r="H86" s="245"/>
      <c r="I86" s="245"/>
      <c r="J86" s="245"/>
      <c r="K86" s="236"/>
      <c r="L86" s="236"/>
      <c r="M86" s="236"/>
      <c r="N86" s="236"/>
      <c r="O86" s="236"/>
      <c r="P86" s="236"/>
      <c r="Q86" s="236"/>
      <c r="R86" s="236"/>
      <c r="S86" s="236"/>
      <c r="T86" s="236"/>
      <c r="U86" s="236"/>
      <c r="V86" s="236"/>
      <c r="W86" s="236"/>
      <c r="X86" s="236"/>
      <c r="Y86" s="236"/>
      <c r="Z86" s="236"/>
      <c r="AA86" s="236"/>
      <c r="AB86" s="236"/>
    </row>
    <row r="87" spans="1:30" ht="60.65" customHeight="1" thickBot="1" x14ac:dyDescent="0.4">
      <c r="A87" s="9"/>
      <c r="B87" s="10"/>
      <c r="C87" s="10"/>
      <c r="D87" s="10"/>
      <c r="E87" s="11"/>
      <c r="F87" s="245"/>
      <c r="G87" s="245"/>
      <c r="H87" s="245"/>
      <c r="I87" s="245"/>
      <c r="J87" s="245"/>
      <c r="K87" s="236"/>
      <c r="L87" s="236"/>
      <c r="M87" s="236"/>
      <c r="N87" s="236"/>
      <c r="O87" s="236"/>
      <c r="P87" s="236"/>
      <c r="Q87" s="236"/>
      <c r="R87" s="236"/>
      <c r="S87" s="236"/>
      <c r="T87" s="236"/>
      <c r="U87" s="236"/>
      <c r="V87" s="236"/>
      <c r="W87" s="236"/>
      <c r="X87" s="236"/>
      <c r="Y87" s="236"/>
      <c r="Z87" s="236"/>
      <c r="AA87" s="236"/>
      <c r="AB87" s="236"/>
    </row>
    <row r="88" spans="1:30" x14ac:dyDescent="0.35">
      <c r="A88" s="245"/>
      <c r="B88" s="245"/>
      <c r="C88" s="245"/>
      <c r="D88" s="245"/>
      <c r="E88" s="245"/>
      <c r="F88" s="245"/>
      <c r="G88" s="245"/>
      <c r="H88" s="245"/>
      <c r="I88" s="245"/>
      <c r="J88" s="245"/>
      <c r="K88" s="236"/>
      <c r="L88" s="236"/>
      <c r="M88" s="236"/>
      <c r="N88" s="236"/>
      <c r="O88" s="236"/>
      <c r="P88" s="236"/>
      <c r="Q88" s="236"/>
      <c r="R88" s="236"/>
      <c r="S88" s="236"/>
      <c r="T88" s="236"/>
      <c r="U88" s="236"/>
      <c r="V88" s="236"/>
      <c r="W88" s="236"/>
      <c r="X88" s="236"/>
      <c r="Y88" s="236"/>
      <c r="Z88" s="236"/>
      <c r="AA88" s="236"/>
      <c r="AB88" s="236"/>
    </row>
    <row r="89" spans="1:30" s="4" customFormat="1" ht="19" thickBot="1" x14ac:dyDescent="0.5">
      <c r="A89" s="4" t="s">
        <v>3</v>
      </c>
      <c r="B89" s="4" t="s">
        <v>4</v>
      </c>
      <c r="C89" s="4" t="s">
        <v>230</v>
      </c>
      <c r="D89" s="4" t="s">
        <v>231</v>
      </c>
      <c r="E89" s="4" t="s">
        <v>232</v>
      </c>
      <c r="F89" s="4" t="s">
        <v>233</v>
      </c>
      <c r="G89" s="4" t="s">
        <v>234</v>
      </c>
      <c r="H89" s="4" t="s">
        <v>235</v>
      </c>
      <c r="I89" s="4" t="s">
        <v>236</v>
      </c>
      <c r="J89" s="4" t="s">
        <v>253</v>
      </c>
      <c r="K89" s="4" t="s">
        <v>238</v>
      </c>
      <c r="L89" s="4" t="s">
        <v>6</v>
      </c>
      <c r="M89" s="238"/>
      <c r="N89" s="238"/>
      <c r="O89" s="238"/>
      <c r="P89" s="238"/>
      <c r="Q89" s="238"/>
      <c r="R89" s="238"/>
      <c r="S89" s="238"/>
      <c r="T89" s="238"/>
      <c r="U89" s="238"/>
      <c r="V89" s="238"/>
      <c r="W89" s="238"/>
      <c r="X89" s="238"/>
      <c r="Y89" s="238"/>
      <c r="Z89" s="238"/>
      <c r="AA89" s="238"/>
      <c r="AB89" s="238"/>
      <c r="AC89" s="238"/>
      <c r="AD89" s="238"/>
    </row>
    <row r="90" spans="1:30" ht="46.5" x14ac:dyDescent="0.45">
      <c r="A90" s="33" t="s">
        <v>297</v>
      </c>
      <c r="B90" s="94" t="s">
        <v>74</v>
      </c>
      <c r="C90" s="7"/>
      <c r="D90" s="7"/>
      <c r="E90" s="7"/>
      <c r="F90" s="7"/>
      <c r="G90" s="7"/>
      <c r="H90" s="7"/>
      <c r="I90" s="65" t="s">
        <v>75</v>
      </c>
      <c r="J90" s="7"/>
      <c r="K90" s="74" t="s">
        <v>33</v>
      </c>
      <c r="L90" s="70" t="s">
        <v>76</v>
      </c>
      <c r="M90" s="236"/>
      <c r="N90" s="236"/>
      <c r="O90" s="236"/>
      <c r="P90" s="236"/>
      <c r="Q90" s="236"/>
      <c r="R90" s="236"/>
      <c r="S90" s="236"/>
      <c r="T90" s="236"/>
      <c r="U90" s="236"/>
      <c r="V90" s="236"/>
      <c r="W90" s="236"/>
      <c r="X90" s="236"/>
      <c r="Y90" s="236"/>
      <c r="Z90" s="236"/>
      <c r="AA90" s="236"/>
      <c r="AB90" s="236"/>
      <c r="AC90" s="236"/>
      <c r="AD90" s="236"/>
    </row>
    <row r="91" spans="1:30" ht="62.5" thickBot="1" x14ac:dyDescent="0.5">
      <c r="A91" s="39" t="s">
        <v>298</v>
      </c>
      <c r="B91" s="96" t="s">
        <v>77</v>
      </c>
      <c r="C91" s="10"/>
      <c r="D91" s="10"/>
      <c r="E91" s="10"/>
      <c r="F91" s="10"/>
      <c r="G91" s="10"/>
      <c r="H91" s="10"/>
      <c r="I91" s="66" t="s">
        <v>75</v>
      </c>
      <c r="J91" s="10"/>
      <c r="K91" s="77" t="s">
        <v>33</v>
      </c>
      <c r="L91" s="73" t="s">
        <v>76</v>
      </c>
      <c r="M91" s="236"/>
      <c r="N91" s="236"/>
      <c r="O91" s="236"/>
      <c r="P91" s="236"/>
      <c r="Q91" s="236"/>
      <c r="R91" s="236"/>
      <c r="S91" s="236"/>
      <c r="T91" s="236"/>
      <c r="U91" s="236"/>
      <c r="V91" s="236"/>
      <c r="W91" s="236"/>
      <c r="X91" s="236"/>
      <c r="Y91" s="236"/>
      <c r="Z91" s="236"/>
      <c r="AA91" s="236"/>
      <c r="AB91" s="236"/>
      <c r="AC91" s="236"/>
      <c r="AD91" s="236"/>
    </row>
    <row r="92" spans="1:30" s="245" customFormat="1" x14ac:dyDescent="0.35"/>
    <row r="93" spans="1:30" s="245" customFormat="1" ht="38.5" customHeight="1" x14ac:dyDescent="0.35"/>
    <row r="94" spans="1:30" x14ac:dyDescent="0.35">
      <c r="A94" s="245"/>
      <c r="B94" s="245"/>
      <c r="C94" s="245"/>
      <c r="D94" s="245"/>
      <c r="E94" s="245"/>
      <c r="F94" s="245"/>
      <c r="G94" s="245"/>
      <c r="H94" s="245"/>
      <c r="I94" s="245"/>
      <c r="J94" s="245"/>
      <c r="K94" s="236"/>
      <c r="L94" s="236"/>
      <c r="M94" s="236"/>
      <c r="N94" s="236"/>
      <c r="O94" s="236"/>
      <c r="P94" s="236"/>
      <c r="Q94" s="236"/>
      <c r="R94" s="236"/>
      <c r="S94" s="236"/>
      <c r="T94" s="236"/>
      <c r="U94" s="236"/>
      <c r="V94" s="236"/>
      <c r="W94" s="236"/>
      <c r="X94" s="236"/>
      <c r="Y94" s="236"/>
      <c r="Z94" s="236"/>
      <c r="AA94" s="236"/>
      <c r="AB94" s="236"/>
    </row>
    <row r="95" spans="1:30" x14ac:dyDescent="0.35">
      <c r="A95" s="245"/>
      <c r="B95" s="245"/>
      <c r="C95" s="245"/>
      <c r="D95" s="245"/>
      <c r="E95" s="245"/>
      <c r="F95" s="245"/>
      <c r="G95" s="245"/>
      <c r="H95" s="245"/>
      <c r="I95" s="245"/>
      <c r="J95" s="245"/>
      <c r="K95" s="236"/>
      <c r="L95" s="236"/>
      <c r="M95" s="236"/>
      <c r="N95" s="236"/>
      <c r="O95" s="236"/>
      <c r="P95" s="236"/>
      <c r="Q95" s="236"/>
      <c r="R95" s="236"/>
      <c r="S95" s="236"/>
      <c r="T95" s="236"/>
      <c r="U95" s="236"/>
      <c r="V95" s="236"/>
      <c r="W95" s="236"/>
      <c r="X95" s="236"/>
      <c r="Y95" s="236"/>
      <c r="Z95" s="236"/>
      <c r="AA95" s="236"/>
      <c r="AB95" s="236"/>
    </row>
    <row r="96" spans="1:30" x14ac:dyDescent="0.35">
      <c r="A96" s="245"/>
      <c r="B96" s="245"/>
      <c r="C96" s="245"/>
      <c r="D96" s="245"/>
      <c r="E96" s="245"/>
      <c r="F96" s="245"/>
      <c r="G96" s="245"/>
      <c r="H96" s="245"/>
      <c r="I96" s="245"/>
      <c r="J96" s="245"/>
      <c r="K96" s="236"/>
      <c r="L96" s="236"/>
      <c r="M96" s="236"/>
      <c r="N96" s="236"/>
      <c r="O96" s="236"/>
      <c r="P96" s="236"/>
      <c r="Q96" s="236"/>
      <c r="R96" s="236"/>
      <c r="S96" s="236"/>
      <c r="T96" s="236"/>
      <c r="U96" s="236"/>
      <c r="V96" s="236"/>
      <c r="W96" s="236"/>
      <c r="X96" s="236"/>
      <c r="Y96" s="236"/>
      <c r="Z96" s="236"/>
      <c r="AA96" s="236"/>
      <c r="AB96" s="236"/>
    </row>
    <row r="97" spans="1:28" x14ac:dyDescent="0.35">
      <c r="A97" s="245"/>
      <c r="B97" s="245"/>
      <c r="C97" s="245"/>
      <c r="D97" s="245"/>
      <c r="E97" s="245"/>
      <c r="F97" s="245"/>
      <c r="G97" s="245"/>
      <c r="H97" s="245"/>
      <c r="I97" s="245"/>
      <c r="J97" s="245"/>
      <c r="K97" s="236"/>
      <c r="L97" s="236"/>
      <c r="M97" s="236"/>
      <c r="N97" s="236"/>
      <c r="O97" s="236"/>
      <c r="P97" s="236"/>
      <c r="Q97" s="236"/>
      <c r="R97" s="236"/>
      <c r="S97" s="236"/>
      <c r="T97" s="236"/>
      <c r="U97" s="236"/>
      <c r="V97" s="236"/>
      <c r="W97" s="236"/>
      <c r="X97" s="236"/>
      <c r="Y97" s="236"/>
      <c r="Z97" s="236"/>
      <c r="AA97" s="236"/>
      <c r="AB97" s="236"/>
    </row>
    <row r="98" spans="1:28" x14ac:dyDescent="0.35">
      <c r="A98" s="245"/>
      <c r="B98" s="245"/>
      <c r="C98" s="245"/>
      <c r="D98" s="245"/>
      <c r="E98" s="245"/>
      <c r="F98" s="245"/>
      <c r="G98" s="245"/>
      <c r="H98" s="245"/>
      <c r="I98" s="245"/>
      <c r="J98" s="245"/>
      <c r="K98" s="236"/>
      <c r="L98" s="236"/>
      <c r="M98" s="236"/>
      <c r="N98" s="236"/>
      <c r="O98" s="236"/>
      <c r="P98" s="236"/>
      <c r="Q98" s="236"/>
      <c r="R98" s="236"/>
      <c r="S98" s="236"/>
      <c r="T98" s="236"/>
      <c r="U98" s="236"/>
      <c r="V98" s="236"/>
      <c r="W98" s="236"/>
      <c r="X98" s="236"/>
      <c r="Y98" s="236"/>
      <c r="Z98" s="236"/>
      <c r="AA98" s="236"/>
      <c r="AB98" s="236"/>
    </row>
    <row r="99" spans="1:28" x14ac:dyDescent="0.35">
      <c r="A99" s="245"/>
      <c r="B99" s="245"/>
      <c r="C99" s="245"/>
      <c r="D99" s="245"/>
      <c r="E99" s="245"/>
      <c r="F99" s="245"/>
      <c r="G99" s="245"/>
      <c r="H99" s="245"/>
      <c r="I99" s="245"/>
      <c r="J99" s="245"/>
      <c r="K99" s="236"/>
      <c r="L99" s="236"/>
      <c r="M99" s="236"/>
      <c r="N99" s="236"/>
      <c r="O99" s="236"/>
      <c r="P99" s="236"/>
      <c r="Q99" s="236"/>
      <c r="R99" s="236"/>
      <c r="S99" s="236"/>
      <c r="T99" s="236"/>
      <c r="U99" s="236"/>
      <c r="V99" s="236"/>
      <c r="W99" s="236"/>
      <c r="X99" s="236"/>
      <c r="Y99" s="236"/>
      <c r="Z99" s="236"/>
      <c r="AA99" s="236"/>
      <c r="AB99" s="236"/>
    </row>
    <row r="100" spans="1:28" x14ac:dyDescent="0.35">
      <c r="A100" s="245"/>
      <c r="B100" s="245"/>
      <c r="C100" s="245"/>
      <c r="D100" s="245"/>
      <c r="E100" s="245"/>
      <c r="F100" s="245"/>
      <c r="G100" s="245"/>
      <c r="H100" s="245"/>
      <c r="I100" s="245"/>
      <c r="J100" s="245"/>
      <c r="K100" s="236"/>
      <c r="L100" s="236"/>
      <c r="M100" s="236"/>
      <c r="N100" s="236"/>
      <c r="O100" s="236"/>
      <c r="P100" s="236"/>
      <c r="Q100" s="236"/>
      <c r="R100" s="236"/>
      <c r="S100" s="236"/>
      <c r="T100" s="236"/>
      <c r="U100" s="236"/>
      <c r="V100" s="236"/>
      <c r="W100" s="236"/>
      <c r="X100" s="236"/>
      <c r="Y100" s="236"/>
      <c r="Z100" s="236"/>
      <c r="AA100" s="236"/>
      <c r="AB100" s="236"/>
    </row>
    <row r="101" spans="1:28" x14ac:dyDescent="0.35">
      <c r="A101" s="245"/>
      <c r="B101" s="245"/>
      <c r="C101" s="245"/>
      <c r="D101" s="245"/>
      <c r="E101" s="245"/>
      <c r="F101" s="245"/>
      <c r="G101" s="245"/>
      <c r="H101" s="245"/>
      <c r="I101" s="245"/>
      <c r="J101" s="245"/>
      <c r="K101" s="236"/>
      <c r="L101" s="236"/>
      <c r="M101" s="236"/>
      <c r="N101" s="236"/>
      <c r="O101" s="236"/>
      <c r="P101" s="236"/>
      <c r="Q101" s="236"/>
      <c r="R101" s="236"/>
      <c r="S101" s="236"/>
      <c r="T101" s="236"/>
      <c r="U101" s="236"/>
      <c r="V101" s="236"/>
      <c r="W101" s="236"/>
      <c r="X101" s="236"/>
      <c r="Y101" s="236"/>
      <c r="Z101" s="236"/>
      <c r="AA101" s="236"/>
      <c r="AB101" s="236"/>
    </row>
    <row r="102" spans="1:28" x14ac:dyDescent="0.35">
      <c r="A102" s="245"/>
      <c r="B102" s="245"/>
      <c r="C102" s="245"/>
      <c r="D102" s="245"/>
      <c r="E102" s="245"/>
      <c r="F102" s="245"/>
      <c r="G102" s="245"/>
      <c r="H102" s="245"/>
      <c r="I102" s="245"/>
      <c r="J102" s="245"/>
      <c r="K102" s="236"/>
      <c r="L102" s="236"/>
      <c r="M102" s="236"/>
      <c r="N102" s="236"/>
      <c r="O102" s="236"/>
      <c r="P102" s="236"/>
      <c r="Q102" s="236"/>
      <c r="R102" s="236"/>
      <c r="S102" s="236"/>
      <c r="T102" s="236"/>
      <c r="U102" s="236"/>
      <c r="V102" s="236"/>
      <c r="W102" s="236"/>
      <c r="X102" s="236"/>
      <c r="Y102" s="236"/>
      <c r="Z102" s="236"/>
      <c r="AA102" s="236"/>
      <c r="AB102" s="236"/>
    </row>
    <row r="103" spans="1:28" x14ac:dyDescent="0.35">
      <c r="A103" s="245"/>
      <c r="B103" s="245"/>
      <c r="C103" s="245"/>
      <c r="D103" s="245"/>
      <c r="E103" s="245"/>
      <c r="F103" s="245"/>
      <c r="G103" s="245"/>
      <c r="H103" s="245"/>
      <c r="I103" s="245"/>
      <c r="J103" s="245"/>
      <c r="K103" s="236"/>
      <c r="L103" s="236"/>
      <c r="M103" s="236"/>
      <c r="N103" s="236"/>
      <c r="O103" s="236"/>
      <c r="P103" s="236"/>
      <c r="Q103" s="236"/>
      <c r="R103" s="236"/>
      <c r="S103" s="236"/>
      <c r="T103" s="236"/>
      <c r="U103" s="236"/>
      <c r="V103" s="236"/>
      <c r="W103" s="236"/>
      <c r="X103" s="236"/>
      <c r="Y103" s="236"/>
      <c r="Z103" s="236"/>
      <c r="AA103" s="236"/>
      <c r="AB103" s="236"/>
    </row>
    <row r="104" spans="1:28" x14ac:dyDescent="0.35">
      <c r="A104" s="245"/>
      <c r="B104" s="245"/>
      <c r="C104" s="245"/>
      <c r="D104" s="245"/>
      <c r="E104" s="245"/>
      <c r="F104" s="245"/>
      <c r="G104" s="245"/>
      <c r="H104" s="245"/>
      <c r="I104" s="245"/>
      <c r="J104" s="245"/>
      <c r="K104" s="236"/>
      <c r="L104" s="236"/>
      <c r="M104" s="236"/>
      <c r="N104" s="236"/>
      <c r="O104" s="236"/>
      <c r="P104" s="236"/>
      <c r="Q104" s="236"/>
      <c r="R104" s="236"/>
      <c r="S104" s="236"/>
      <c r="T104" s="236"/>
      <c r="U104" s="236"/>
      <c r="V104" s="236"/>
      <c r="W104" s="236"/>
      <c r="X104" s="236"/>
      <c r="Y104" s="236"/>
      <c r="Z104" s="236"/>
      <c r="AA104" s="236"/>
      <c r="AB104" s="236"/>
    </row>
    <row r="105" spans="1:28" x14ac:dyDescent="0.35">
      <c r="A105" s="245"/>
      <c r="B105" s="245"/>
      <c r="C105" s="245"/>
      <c r="D105" s="245"/>
      <c r="E105" s="245"/>
      <c r="F105" s="245"/>
      <c r="G105" s="245"/>
      <c r="H105" s="245"/>
      <c r="I105" s="245"/>
      <c r="J105" s="245"/>
      <c r="K105" s="236"/>
      <c r="L105" s="236"/>
      <c r="M105" s="236"/>
      <c r="N105" s="236"/>
      <c r="O105" s="236"/>
      <c r="P105" s="236"/>
      <c r="Q105" s="236"/>
      <c r="R105" s="236"/>
      <c r="S105" s="236"/>
      <c r="T105" s="236"/>
      <c r="U105" s="236"/>
      <c r="V105" s="236"/>
      <c r="W105" s="236"/>
      <c r="X105" s="236"/>
      <c r="Y105" s="236"/>
      <c r="Z105" s="236"/>
      <c r="AA105" s="236"/>
      <c r="AB105" s="236"/>
    </row>
    <row r="106" spans="1:28" x14ac:dyDescent="0.35">
      <c r="A106" s="245"/>
      <c r="B106" s="245"/>
      <c r="C106" s="245"/>
      <c r="D106" s="245"/>
      <c r="E106" s="245"/>
      <c r="F106" s="245"/>
      <c r="G106" s="245"/>
      <c r="H106" s="245"/>
      <c r="I106" s="245"/>
      <c r="J106" s="245"/>
      <c r="K106" s="236"/>
      <c r="L106" s="236"/>
      <c r="M106" s="236"/>
      <c r="N106" s="236"/>
      <c r="O106" s="236"/>
      <c r="P106" s="236"/>
      <c r="Q106" s="236"/>
      <c r="R106" s="236"/>
      <c r="S106" s="236"/>
      <c r="T106" s="236"/>
      <c r="U106" s="236"/>
      <c r="V106" s="236"/>
      <c r="W106" s="236"/>
      <c r="X106" s="236"/>
      <c r="Y106" s="236"/>
      <c r="Z106" s="236"/>
      <c r="AA106" s="236"/>
      <c r="AB106" s="236"/>
    </row>
    <row r="107" spans="1:28" x14ac:dyDescent="0.35">
      <c r="A107" s="245"/>
      <c r="B107" s="245"/>
      <c r="C107" s="245"/>
      <c r="D107" s="245"/>
      <c r="E107" s="245"/>
      <c r="F107" s="245"/>
      <c r="G107" s="245"/>
      <c r="H107" s="245"/>
      <c r="I107" s="245"/>
      <c r="J107" s="245"/>
      <c r="K107" s="236"/>
      <c r="L107" s="236"/>
      <c r="M107" s="236"/>
      <c r="N107" s="236"/>
      <c r="O107" s="236"/>
      <c r="P107" s="236"/>
      <c r="Q107" s="236"/>
      <c r="R107" s="236"/>
      <c r="S107" s="236"/>
      <c r="T107" s="236"/>
      <c r="U107" s="236"/>
      <c r="V107" s="236"/>
      <c r="W107" s="236"/>
      <c r="X107" s="236"/>
      <c r="Y107" s="236"/>
      <c r="Z107" s="236"/>
      <c r="AA107" s="236"/>
      <c r="AB107" s="236"/>
    </row>
    <row r="108" spans="1:28" x14ac:dyDescent="0.35">
      <c r="A108" s="245"/>
      <c r="B108" s="245"/>
      <c r="C108" s="245"/>
      <c r="D108" s="245"/>
      <c r="E108" s="245"/>
      <c r="F108" s="245"/>
      <c r="G108" s="245"/>
      <c r="H108" s="245"/>
      <c r="I108" s="245"/>
      <c r="J108" s="245"/>
      <c r="K108" s="236"/>
      <c r="L108" s="236"/>
      <c r="M108" s="236"/>
      <c r="N108" s="236"/>
      <c r="O108" s="236"/>
      <c r="P108" s="236"/>
      <c r="Q108" s="236"/>
      <c r="R108" s="236"/>
      <c r="S108" s="236"/>
      <c r="T108" s="236"/>
      <c r="U108" s="236"/>
      <c r="V108" s="236"/>
      <c r="W108" s="236"/>
      <c r="X108" s="236"/>
      <c r="Y108" s="236"/>
      <c r="Z108" s="236"/>
      <c r="AA108" s="236"/>
      <c r="AB108" s="236"/>
    </row>
    <row r="109" spans="1:28" x14ac:dyDescent="0.35">
      <c r="A109" s="245"/>
      <c r="B109" s="245"/>
      <c r="C109" s="245"/>
      <c r="D109" s="245"/>
      <c r="E109" s="245"/>
      <c r="F109" s="245"/>
      <c r="G109" s="245"/>
      <c r="H109" s="245"/>
      <c r="I109" s="245"/>
      <c r="J109" s="245"/>
      <c r="K109" s="236"/>
      <c r="L109" s="236"/>
      <c r="M109" s="236"/>
      <c r="N109" s="236"/>
      <c r="O109" s="236"/>
      <c r="P109" s="236"/>
      <c r="Q109" s="236"/>
      <c r="R109" s="236"/>
      <c r="S109" s="236"/>
      <c r="T109" s="236"/>
      <c r="U109" s="236"/>
      <c r="V109" s="236"/>
      <c r="W109" s="236"/>
      <c r="X109" s="236"/>
      <c r="Y109" s="236"/>
      <c r="Z109" s="236"/>
      <c r="AA109" s="236"/>
      <c r="AB109" s="236"/>
    </row>
    <row r="110" spans="1:28" x14ac:dyDescent="0.35">
      <c r="A110" s="245"/>
      <c r="B110" s="245"/>
      <c r="C110" s="245"/>
      <c r="D110" s="245"/>
      <c r="E110" s="245"/>
      <c r="F110" s="245"/>
      <c r="G110" s="245"/>
      <c r="H110" s="245"/>
      <c r="I110" s="245"/>
      <c r="J110" s="245"/>
      <c r="K110" s="236"/>
      <c r="L110" s="236"/>
      <c r="M110" s="236"/>
      <c r="N110" s="236"/>
      <c r="O110" s="236"/>
      <c r="P110" s="236"/>
      <c r="Q110" s="236"/>
      <c r="R110" s="236"/>
      <c r="S110" s="236"/>
      <c r="T110" s="236"/>
      <c r="U110" s="236"/>
      <c r="V110" s="236"/>
      <c r="W110" s="236"/>
      <c r="X110" s="236"/>
      <c r="Y110" s="236"/>
      <c r="Z110" s="236"/>
      <c r="AA110" s="236"/>
      <c r="AB110" s="236"/>
    </row>
    <row r="111" spans="1:28" x14ac:dyDescent="0.35">
      <c r="A111" s="245"/>
      <c r="B111" s="245"/>
      <c r="C111" s="245"/>
      <c r="D111" s="245"/>
      <c r="E111" s="245"/>
      <c r="F111" s="245"/>
      <c r="G111" s="245"/>
      <c r="H111" s="245"/>
      <c r="I111" s="245"/>
      <c r="J111" s="245"/>
      <c r="K111" s="236"/>
      <c r="L111" s="236"/>
      <c r="M111" s="236"/>
      <c r="N111" s="236"/>
      <c r="O111" s="236"/>
      <c r="P111" s="236"/>
      <c r="Q111" s="236"/>
      <c r="R111" s="236"/>
      <c r="S111" s="236"/>
      <c r="T111" s="236"/>
      <c r="U111" s="236"/>
      <c r="V111" s="236"/>
      <c r="W111" s="236"/>
      <c r="X111" s="236"/>
      <c r="Y111" s="236"/>
      <c r="Z111" s="236"/>
      <c r="AA111" s="236"/>
      <c r="AB111" s="236"/>
    </row>
    <row r="112" spans="1:28" x14ac:dyDescent="0.35">
      <c r="A112" s="245"/>
      <c r="B112" s="245"/>
      <c r="C112" s="245"/>
      <c r="D112" s="245"/>
      <c r="E112" s="245"/>
      <c r="F112" s="245"/>
      <c r="G112" s="245"/>
      <c r="H112" s="245"/>
      <c r="I112" s="245"/>
      <c r="J112" s="245"/>
      <c r="K112" s="236"/>
      <c r="L112" s="236"/>
      <c r="M112" s="236"/>
      <c r="N112" s="236"/>
      <c r="O112" s="236"/>
      <c r="P112" s="236"/>
      <c r="Q112" s="236"/>
      <c r="R112" s="236"/>
      <c r="S112" s="236"/>
      <c r="T112" s="236"/>
      <c r="U112" s="236"/>
      <c r="V112" s="236"/>
      <c r="W112" s="236"/>
      <c r="X112" s="236"/>
      <c r="Y112" s="236"/>
      <c r="Z112" s="236"/>
      <c r="AA112" s="236"/>
      <c r="AB112" s="236"/>
    </row>
    <row r="113" spans="1:28" x14ac:dyDescent="0.35">
      <c r="A113" s="245"/>
      <c r="B113" s="245"/>
      <c r="C113" s="245"/>
      <c r="D113" s="245"/>
      <c r="E113" s="245"/>
      <c r="F113" s="245"/>
      <c r="G113" s="245"/>
      <c r="H113" s="245"/>
      <c r="I113" s="245"/>
      <c r="J113" s="245"/>
      <c r="K113" s="236"/>
      <c r="L113" s="236"/>
      <c r="M113" s="236"/>
      <c r="N113" s="236"/>
      <c r="O113" s="236"/>
      <c r="P113" s="236"/>
      <c r="Q113" s="236"/>
      <c r="R113" s="236"/>
      <c r="S113" s="236"/>
      <c r="T113" s="236"/>
      <c r="U113" s="236"/>
      <c r="V113" s="236"/>
      <c r="W113" s="236"/>
      <c r="X113" s="236"/>
      <c r="Y113" s="236"/>
      <c r="Z113" s="236"/>
      <c r="AA113" s="236"/>
      <c r="AB113" s="236"/>
    </row>
    <row r="114" spans="1:28" x14ac:dyDescent="0.35">
      <c r="A114" s="245"/>
      <c r="B114" s="245"/>
      <c r="C114" s="245"/>
      <c r="D114" s="245"/>
      <c r="E114" s="245"/>
      <c r="F114" s="245"/>
      <c r="G114" s="245"/>
      <c r="H114" s="245"/>
      <c r="I114" s="245"/>
      <c r="J114" s="245"/>
      <c r="K114" s="236"/>
      <c r="L114" s="236"/>
      <c r="M114" s="236"/>
      <c r="N114" s="236"/>
      <c r="O114" s="236"/>
      <c r="P114" s="236"/>
      <c r="Q114" s="236"/>
      <c r="R114" s="236"/>
      <c r="S114" s="236"/>
      <c r="T114" s="236"/>
      <c r="U114" s="236"/>
      <c r="V114" s="236"/>
      <c r="W114" s="236"/>
      <c r="X114" s="236"/>
      <c r="Y114" s="236"/>
      <c r="Z114" s="236"/>
      <c r="AA114" s="236"/>
      <c r="AB114" s="236"/>
    </row>
    <row r="115" spans="1:28" x14ac:dyDescent="0.35">
      <c r="A115" s="245"/>
      <c r="B115" s="245"/>
      <c r="C115" s="245"/>
      <c r="D115" s="245"/>
      <c r="E115" s="245"/>
      <c r="F115" s="245"/>
      <c r="G115" s="245"/>
      <c r="H115" s="245"/>
      <c r="I115" s="245"/>
      <c r="J115" s="245"/>
      <c r="K115" s="236"/>
      <c r="L115" s="236"/>
      <c r="M115" s="236"/>
      <c r="N115" s="236"/>
      <c r="O115" s="236"/>
      <c r="P115" s="236"/>
      <c r="Q115" s="236"/>
      <c r="R115" s="236"/>
      <c r="S115" s="236"/>
      <c r="T115" s="236"/>
      <c r="U115" s="236"/>
      <c r="V115" s="236"/>
      <c r="W115" s="236"/>
      <c r="X115" s="236"/>
      <c r="Y115" s="236"/>
      <c r="Z115" s="236"/>
      <c r="AA115" s="236"/>
      <c r="AB115" s="236"/>
    </row>
    <row r="116" spans="1:28" x14ac:dyDescent="0.35">
      <c r="A116" s="30"/>
      <c r="B116" s="30"/>
      <c r="C116" s="30"/>
      <c r="D116" s="30"/>
      <c r="E116" s="30"/>
      <c r="F116" s="30"/>
      <c r="G116" s="30"/>
      <c r="H116" s="30"/>
      <c r="I116" s="30"/>
      <c r="J116" s="30"/>
    </row>
    <row r="117" spans="1:28" x14ac:dyDescent="0.35">
      <c r="A117" s="30"/>
      <c r="B117" s="30"/>
      <c r="C117" s="30"/>
      <c r="D117" s="30"/>
      <c r="E117" s="30"/>
      <c r="F117" s="30"/>
      <c r="G117" s="30"/>
      <c r="H117" s="30"/>
      <c r="I117" s="30"/>
      <c r="J117" s="30"/>
    </row>
    <row r="118" spans="1:28" x14ac:dyDescent="0.35">
      <c r="A118" s="30"/>
      <c r="B118" s="30"/>
      <c r="C118" s="30"/>
      <c r="D118" s="30"/>
      <c r="E118" s="30"/>
      <c r="F118" s="30"/>
      <c r="G118" s="30"/>
      <c r="H118" s="30"/>
      <c r="I118" s="30"/>
      <c r="J118" s="30"/>
    </row>
    <row r="119" spans="1:28" x14ac:dyDescent="0.35">
      <c r="A119" s="30"/>
      <c r="B119" s="30"/>
      <c r="C119" s="30"/>
      <c r="D119" s="30"/>
      <c r="E119" s="30"/>
      <c r="F119" s="30"/>
      <c r="G119" s="30"/>
      <c r="H119" s="30"/>
      <c r="I119" s="30"/>
      <c r="J119" s="30"/>
    </row>
    <row r="120" spans="1:28" x14ac:dyDescent="0.35">
      <c r="A120" s="30"/>
      <c r="B120" s="30"/>
      <c r="C120" s="30"/>
      <c r="D120" s="30"/>
      <c r="E120" s="30"/>
      <c r="F120" s="30"/>
      <c r="G120" s="30"/>
      <c r="H120" s="30"/>
      <c r="I120" s="30"/>
      <c r="J120" s="30"/>
    </row>
    <row r="121" spans="1:28" x14ac:dyDescent="0.35">
      <c r="A121" s="30"/>
      <c r="B121" s="30"/>
      <c r="C121" s="30"/>
      <c r="D121" s="30"/>
      <c r="E121" s="30"/>
      <c r="F121" s="30"/>
      <c r="G121" s="30"/>
      <c r="H121" s="30"/>
      <c r="I121" s="30"/>
      <c r="J121" s="30"/>
    </row>
    <row r="122" spans="1:28" x14ac:dyDescent="0.35">
      <c r="A122" s="30"/>
      <c r="B122" s="30"/>
      <c r="C122" s="30"/>
      <c r="D122" s="30"/>
      <c r="E122" s="30"/>
      <c r="F122" s="30"/>
      <c r="G122" s="30"/>
      <c r="H122" s="30"/>
      <c r="I122" s="30"/>
      <c r="J122" s="30"/>
    </row>
    <row r="123" spans="1:28" x14ac:dyDescent="0.35">
      <c r="A123" s="30"/>
      <c r="B123" s="30"/>
      <c r="C123" s="30"/>
      <c r="D123" s="30"/>
      <c r="E123" s="30"/>
      <c r="F123" s="30"/>
      <c r="G123" s="30"/>
      <c r="H123" s="30"/>
      <c r="I123" s="30"/>
      <c r="J123" s="30"/>
    </row>
    <row r="124" spans="1:28" x14ac:dyDescent="0.35">
      <c r="A124" s="30"/>
      <c r="B124" s="30"/>
      <c r="C124" s="30"/>
      <c r="D124" s="30"/>
      <c r="E124" s="30"/>
      <c r="F124" s="30"/>
      <c r="G124" s="30"/>
      <c r="H124" s="30"/>
      <c r="I124" s="30"/>
      <c r="J124" s="30"/>
    </row>
    <row r="125" spans="1:28" x14ac:dyDescent="0.35">
      <c r="A125" s="30"/>
      <c r="B125" s="30"/>
      <c r="C125" s="30"/>
      <c r="D125" s="30"/>
      <c r="E125" s="30"/>
      <c r="F125" s="30"/>
      <c r="G125" s="30"/>
      <c r="H125" s="30"/>
      <c r="I125" s="30"/>
      <c r="J125" s="30"/>
    </row>
    <row r="126" spans="1:28" x14ac:dyDescent="0.35">
      <c r="A126" s="30"/>
      <c r="B126" s="30"/>
      <c r="C126" s="30"/>
      <c r="D126" s="30"/>
      <c r="E126" s="30"/>
      <c r="F126" s="30"/>
      <c r="G126" s="30"/>
      <c r="H126" s="30"/>
      <c r="I126" s="30"/>
      <c r="J126" s="30"/>
    </row>
    <row r="127" spans="1:28" x14ac:dyDescent="0.35">
      <c r="A127" s="30"/>
      <c r="B127" s="30"/>
      <c r="C127" s="30"/>
      <c r="D127" s="30"/>
      <c r="E127" s="30"/>
      <c r="F127" s="30"/>
      <c r="G127" s="30"/>
      <c r="H127" s="30"/>
      <c r="I127" s="30"/>
      <c r="J127" s="30"/>
    </row>
    <row r="128" spans="1:28" x14ac:dyDescent="0.35">
      <c r="A128" s="30"/>
      <c r="B128" s="30"/>
      <c r="C128" s="30"/>
      <c r="D128" s="30"/>
      <c r="E128" s="30"/>
      <c r="F128" s="30"/>
      <c r="G128" s="30"/>
      <c r="H128" s="30"/>
      <c r="I128" s="30"/>
      <c r="J128" s="30"/>
    </row>
    <row r="129" spans="1:10" x14ac:dyDescent="0.35">
      <c r="A129" s="30"/>
      <c r="B129" s="30"/>
      <c r="C129" s="30"/>
      <c r="D129" s="30"/>
      <c r="E129" s="30"/>
      <c r="F129" s="30"/>
      <c r="G129" s="30"/>
      <c r="H129" s="30"/>
      <c r="I129" s="30"/>
      <c r="J129" s="30"/>
    </row>
    <row r="130" spans="1:10" x14ac:dyDescent="0.35">
      <c r="A130" s="30"/>
      <c r="B130" s="30"/>
      <c r="C130" s="30"/>
      <c r="D130" s="30"/>
      <c r="E130" s="30"/>
      <c r="F130" s="30"/>
      <c r="G130" s="30"/>
      <c r="H130" s="30"/>
      <c r="I130" s="30"/>
      <c r="J130" s="30"/>
    </row>
    <row r="131" spans="1:10" x14ac:dyDescent="0.35">
      <c r="A131" s="30"/>
      <c r="B131" s="30"/>
      <c r="C131" s="30"/>
      <c r="D131" s="30"/>
      <c r="E131" s="30"/>
      <c r="F131" s="30"/>
      <c r="G131" s="30"/>
      <c r="H131" s="30"/>
      <c r="I131" s="30"/>
      <c r="J131" s="30"/>
    </row>
    <row r="132" spans="1:10" x14ac:dyDescent="0.35">
      <c r="A132" s="30"/>
      <c r="B132" s="30"/>
      <c r="C132" s="30"/>
      <c r="D132" s="30"/>
      <c r="E132" s="30"/>
      <c r="F132" s="30"/>
      <c r="G132" s="30"/>
      <c r="H132" s="30"/>
      <c r="I132" s="30"/>
      <c r="J132" s="30"/>
    </row>
    <row r="133" spans="1:10" x14ac:dyDescent="0.35">
      <c r="A133" s="30"/>
      <c r="B133" s="30"/>
      <c r="C133" s="30"/>
      <c r="D133" s="30"/>
      <c r="E133" s="30"/>
      <c r="F133" s="30"/>
      <c r="G133" s="30"/>
      <c r="H133" s="30"/>
      <c r="I133" s="30"/>
      <c r="J133" s="30"/>
    </row>
    <row r="134" spans="1:10" x14ac:dyDescent="0.35">
      <c r="A134" s="30"/>
      <c r="B134" s="30"/>
      <c r="C134" s="30"/>
      <c r="D134" s="30"/>
      <c r="E134" s="30"/>
      <c r="F134" s="30"/>
      <c r="G134" s="30"/>
      <c r="H134" s="30"/>
      <c r="I134" s="30"/>
      <c r="J134" s="30"/>
    </row>
    <row r="135" spans="1:10" x14ac:dyDescent="0.35">
      <c r="A135" s="30"/>
      <c r="B135" s="30"/>
      <c r="C135" s="30"/>
      <c r="D135" s="30"/>
      <c r="E135" s="30"/>
      <c r="F135" s="30"/>
      <c r="G135" s="30"/>
      <c r="H135" s="30"/>
      <c r="I135" s="30"/>
      <c r="J135" s="30"/>
    </row>
    <row r="136" spans="1:10" x14ac:dyDescent="0.35">
      <c r="A136" s="30"/>
      <c r="B136" s="30"/>
      <c r="C136" s="30"/>
      <c r="D136" s="30"/>
      <c r="E136" s="30"/>
      <c r="F136" s="30"/>
      <c r="G136" s="30"/>
      <c r="H136" s="30"/>
      <c r="I136" s="30"/>
      <c r="J136" s="30"/>
    </row>
    <row r="137" spans="1:10" x14ac:dyDescent="0.35">
      <c r="A137" s="30"/>
      <c r="B137" s="30"/>
      <c r="C137" s="30"/>
      <c r="D137" s="30"/>
      <c r="E137" s="30"/>
      <c r="F137" s="30"/>
      <c r="G137" s="30"/>
      <c r="H137" s="30"/>
      <c r="I137" s="30"/>
      <c r="J137" s="30"/>
    </row>
    <row r="138" spans="1:10" x14ac:dyDescent="0.35">
      <c r="A138" s="30"/>
      <c r="B138" s="30"/>
      <c r="C138" s="30"/>
      <c r="D138" s="30"/>
      <c r="E138" s="30"/>
      <c r="F138" s="30"/>
      <c r="G138" s="30"/>
      <c r="H138" s="30"/>
      <c r="I138" s="30"/>
      <c r="J138" s="30"/>
    </row>
    <row r="139" spans="1:10" x14ac:dyDescent="0.35">
      <c r="A139" s="30"/>
      <c r="B139" s="30"/>
      <c r="C139" s="30"/>
      <c r="D139" s="30"/>
      <c r="E139" s="30"/>
      <c r="F139" s="30"/>
      <c r="G139" s="30"/>
      <c r="H139" s="30"/>
      <c r="I139" s="30"/>
      <c r="J139" s="30"/>
    </row>
    <row r="140" spans="1:10" x14ac:dyDescent="0.35">
      <c r="A140" s="30"/>
      <c r="B140" s="30"/>
      <c r="C140" s="30"/>
      <c r="D140" s="30"/>
      <c r="E140" s="30"/>
      <c r="F140" s="30"/>
      <c r="G140" s="30"/>
      <c r="H140" s="30"/>
      <c r="I140" s="30"/>
      <c r="J140" s="30"/>
    </row>
    <row r="141" spans="1:10" x14ac:dyDescent="0.35">
      <c r="A141" s="30"/>
      <c r="B141" s="30"/>
      <c r="C141" s="30"/>
      <c r="D141" s="30"/>
      <c r="E141" s="30"/>
      <c r="F141" s="30"/>
      <c r="G141" s="30"/>
      <c r="H141" s="30"/>
      <c r="I141" s="30"/>
      <c r="J141" s="30"/>
    </row>
    <row r="142" spans="1:10" x14ac:dyDescent="0.35">
      <c r="A142" s="30"/>
      <c r="B142" s="30"/>
      <c r="C142" s="30"/>
      <c r="D142" s="30"/>
      <c r="E142" s="30"/>
      <c r="F142" s="30"/>
      <c r="G142" s="30"/>
      <c r="H142" s="30"/>
      <c r="I142" s="30"/>
      <c r="J142" s="30"/>
    </row>
    <row r="143" spans="1:10" x14ac:dyDescent="0.35">
      <c r="A143" s="30"/>
      <c r="B143" s="30"/>
      <c r="C143" s="30"/>
      <c r="D143" s="30"/>
      <c r="E143" s="30"/>
      <c r="F143" s="30"/>
      <c r="G143" s="30"/>
      <c r="H143" s="30"/>
      <c r="I143" s="30"/>
      <c r="J143" s="30"/>
    </row>
    <row r="144" spans="1:10" x14ac:dyDescent="0.35">
      <c r="A144" s="30"/>
      <c r="B144" s="30"/>
      <c r="C144" s="30"/>
      <c r="D144" s="30"/>
      <c r="E144" s="30"/>
      <c r="F144" s="30"/>
      <c r="G144" s="30"/>
      <c r="H144" s="30"/>
      <c r="I144" s="30"/>
      <c r="J144" s="30"/>
    </row>
    <row r="145" spans="1:10" x14ac:dyDescent="0.35">
      <c r="A145" s="30"/>
      <c r="B145" s="30"/>
      <c r="C145" s="30"/>
      <c r="D145" s="30"/>
      <c r="E145" s="30"/>
      <c r="F145" s="30"/>
      <c r="G145" s="30"/>
      <c r="H145" s="30"/>
      <c r="I145" s="30"/>
      <c r="J145" s="30"/>
    </row>
    <row r="146" spans="1:10" x14ac:dyDescent="0.35">
      <c r="A146" s="30"/>
      <c r="B146" s="30"/>
      <c r="C146" s="30"/>
      <c r="D146" s="30"/>
      <c r="E146" s="30"/>
      <c r="F146" s="30"/>
      <c r="G146" s="30"/>
      <c r="H146" s="30"/>
      <c r="I146" s="30"/>
      <c r="J146" s="30"/>
    </row>
    <row r="147" spans="1:10" x14ac:dyDescent="0.35">
      <c r="A147" s="30"/>
      <c r="B147" s="30"/>
      <c r="C147" s="30"/>
      <c r="D147" s="30"/>
      <c r="E147" s="30"/>
      <c r="F147" s="30"/>
      <c r="G147" s="30"/>
      <c r="H147" s="30"/>
      <c r="I147" s="30"/>
      <c r="J147" s="30"/>
    </row>
    <row r="148" spans="1:10" x14ac:dyDescent="0.35">
      <c r="A148" s="30"/>
      <c r="B148" s="30"/>
      <c r="C148" s="30"/>
      <c r="D148" s="30"/>
      <c r="E148" s="30"/>
      <c r="F148" s="30"/>
      <c r="G148" s="30"/>
      <c r="H148" s="30"/>
      <c r="I148" s="30"/>
      <c r="J148" s="30"/>
    </row>
    <row r="149" spans="1:10" x14ac:dyDescent="0.35">
      <c r="A149" s="30"/>
      <c r="B149" s="30"/>
      <c r="C149" s="30"/>
      <c r="D149" s="30"/>
      <c r="E149" s="30"/>
      <c r="F149" s="30"/>
      <c r="G149" s="30"/>
      <c r="H149" s="30"/>
      <c r="I149" s="30"/>
      <c r="J149" s="30"/>
    </row>
    <row r="150" spans="1:10" x14ac:dyDescent="0.35">
      <c r="A150" s="30"/>
      <c r="B150" s="30"/>
      <c r="C150" s="30"/>
      <c r="D150" s="30"/>
      <c r="E150" s="30"/>
      <c r="F150" s="30"/>
      <c r="G150" s="30"/>
      <c r="H150" s="30"/>
      <c r="I150" s="30"/>
      <c r="J150" s="30"/>
    </row>
    <row r="151" spans="1:10" x14ac:dyDescent="0.35">
      <c r="A151" s="30"/>
      <c r="B151" s="30"/>
      <c r="C151" s="30"/>
      <c r="D151" s="30"/>
      <c r="E151" s="30"/>
      <c r="F151" s="30"/>
      <c r="G151" s="30"/>
      <c r="H151" s="30"/>
      <c r="I151" s="30"/>
      <c r="J151" s="30"/>
    </row>
    <row r="152" spans="1:10" x14ac:dyDescent="0.35">
      <c r="A152" s="30"/>
      <c r="B152" s="30"/>
      <c r="C152" s="30"/>
      <c r="D152" s="30"/>
      <c r="E152" s="30"/>
      <c r="F152" s="30"/>
      <c r="G152" s="30"/>
      <c r="H152" s="30"/>
      <c r="I152" s="30"/>
      <c r="J152" s="30"/>
    </row>
    <row r="153" spans="1:10" x14ac:dyDescent="0.35">
      <c r="A153" s="30"/>
      <c r="B153" s="30"/>
      <c r="C153" s="30"/>
      <c r="D153" s="30"/>
      <c r="E153" s="30"/>
      <c r="F153" s="30"/>
      <c r="G153" s="30"/>
      <c r="H153" s="30"/>
      <c r="I153" s="30"/>
      <c r="J153" s="30"/>
    </row>
    <row r="154" spans="1:10" x14ac:dyDescent="0.35">
      <c r="A154" s="30"/>
      <c r="B154" s="30"/>
      <c r="C154" s="30"/>
      <c r="D154" s="30"/>
      <c r="E154" s="30"/>
      <c r="F154" s="30"/>
      <c r="G154" s="30"/>
      <c r="H154" s="30"/>
      <c r="I154" s="30"/>
      <c r="J154" s="30"/>
    </row>
    <row r="155" spans="1:10" x14ac:dyDescent="0.35">
      <c r="A155" s="30"/>
      <c r="B155" s="30"/>
      <c r="C155" s="30"/>
      <c r="D155" s="30"/>
      <c r="E155" s="30"/>
      <c r="F155" s="30"/>
      <c r="G155" s="30"/>
      <c r="H155" s="30"/>
      <c r="I155" s="30"/>
      <c r="J155" s="30"/>
    </row>
    <row r="156" spans="1:10" x14ac:dyDescent="0.35">
      <c r="A156" s="30"/>
      <c r="B156" s="30"/>
      <c r="C156" s="30"/>
      <c r="D156" s="30"/>
      <c r="E156" s="30"/>
      <c r="F156" s="30"/>
      <c r="G156" s="30"/>
      <c r="H156" s="30"/>
      <c r="I156" s="30"/>
      <c r="J156" s="30"/>
    </row>
    <row r="157" spans="1:10" x14ac:dyDescent="0.35">
      <c r="A157" s="30"/>
      <c r="B157" s="30"/>
      <c r="C157" s="30"/>
      <c r="D157" s="30"/>
      <c r="E157" s="30"/>
      <c r="F157" s="30"/>
      <c r="G157" s="30"/>
      <c r="H157" s="30"/>
      <c r="I157" s="30"/>
      <c r="J157" s="30"/>
    </row>
    <row r="158" spans="1:10" x14ac:dyDescent="0.35">
      <c r="A158" s="30"/>
      <c r="B158" s="30"/>
      <c r="C158" s="30"/>
      <c r="D158" s="30"/>
      <c r="E158" s="30"/>
      <c r="F158" s="30"/>
      <c r="G158" s="30"/>
      <c r="H158" s="30"/>
      <c r="I158" s="30"/>
      <c r="J158" s="30"/>
    </row>
    <row r="159" spans="1:10" x14ac:dyDescent="0.35">
      <c r="A159" s="30"/>
      <c r="B159" s="30"/>
      <c r="C159" s="30"/>
      <c r="D159" s="30"/>
      <c r="E159" s="30"/>
      <c r="F159" s="30"/>
      <c r="G159" s="30"/>
      <c r="H159" s="30"/>
      <c r="I159" s="30"/>
      <c r="J159" s="30"/>
    </row>
    <row r="160" spans="1:10" x14ac:dyDescent="0.35">
      <c r="A160" s="30"/>
      <c r="B160" s="30"/>
      <c r="C160" s="30"/>
      <c r="D160" s="30"/>
      <c r="E160" s="30"/>
      <c r="F160" s="30"/>
      <c r="G160" s="30"/>
      <c r="H160" s="30"/>
      <c r="I160" s="30"/>
      <c r="J160" s="30"/>
    </row>
    <row r="161" spans="1:10" x14ac:dyDescent="0.35">
      <c r="A161" s="30"/>
      <c r="B161" s="30"/>
      <c r="C161" s="30"/>
      <c r="D161" s="30"/>
      <c r="E161" s="30"/>
      <c r="F161" s="30"/>
      <c r="G161" s="30"/>
      <c r="H161" s="30"/>
      <c r="I161" s="30"/>
      <c r="J161" s="30"/>
    </row>
    <row r="162" spans="1:10" x14ac:dyDescent="0.35">
      <c r="A162" s="30"/>
      <c r="B162" s="30"/>
      <c r="C162" s="30"/>
      <c r="D162" s="30"/>
      <c r="E162" s="30"/>
      <c r="F162" s="30"/>
      <c r="G162" s="30"/>
      <c r="H162" s="30"/>
      <c r="I162" s="30"/>
      <c r="J162" s="30"/>
    </row>
    <row r="163" spans="1:10" x14ac:dyDescent="0.35">
      <c r="A163" s="30"/>
      <c r="B163" s="30"/>
      <c r="C163" s="30"/>
      <c r="D163" s="30"/>
      <c r="E163" s="30"/>
      <c r="F163" s="30"/>
      <c r="G163" s="30"/>
      <c r="H163" s="30"/>
      <c r="I163" s="30"/>
      <c r="J163" s="30"/>
    </row>
    <row r="164" spans="1:10" x14ac:dyDescent="0.35">
      <c r="A164" s="30"/>
      <c r="B164" s="30"/>
      <c r="C164" s="30"/>
      <c r="D164" s="30"/>
      <c r="E164" s="30"/>
      <c r="F164" s="30"/>
      <c r="G164" s="30"/>
      <c r="H164" s="30"/>
      <c r="I164" s="30"/>
      <c r="J164" s="30"/>
    </row>
    <row r="165" spans="1:10" x14ac:dyDescent="0.35">
      <c r="A165" s="30"/>
      <c r="B165" s="30"/>
      <c r="C165" s="30"/>
      <c r="D165" s="30"/>
      <c r="E165" s="30"/>
      <c r="F165" s="30"/>
      <c r="G165" s="30"/>
      <c r="H165" s="30"/>
      <c r="I165" s="30"/>
      <c r="J165" s="30"/>
    </row>
    <row r="166" spans="1:10" x14ac:dyDescent="0.35">
      <c r="A166" s="30"/>
      <c r="B166" s="30"/>
      <c r="C166" s="30"/>
      <c r="D166" s="30"/>
      <c r="E166" s="30"/>
      <c r="F166" s="30"/>
      <c r="G166" s="30"/>
      <c r="H166" s="30"/>
      <c r="I166" s="30"/>
      <c r="J166" s="30"/>
    </row>
    <row r="167" spans="1:10" x14ac:dyDescent="0.35">
      <c r="A167" s="30"/>
      <c r="B167" s="30"/>
      <c r="C167" s="30"/>
      <c r="D167" s="30"/>
      <c r="E167" s="30"/>
      <c r="F167" s="30"/>
      <c r="G167" s="30"/>
      <c r="H167" s="30"/>
      <c r="I167" s="30"/>
      <c r="J167" s="30"/>
    </row>
    <row r="168" spans="1:10" x14ac:dyDescent="0.35">
      <c r="A168" s="30"/>
      <c r="B168" s="30"/>
      <c r="C168" s="30"/>
      <c r="D168" s="30"/>
      <c r="E168" s="30"/>
      <c r="F168" s="30"/>
      <c r="G168" s="30"/>
      <c r="H168" s="30"/>
      <c r="I168" s="30"/>
      <c r="J168" s="30"/>
    </row>
    <row r="169" spans="1:10" x14ac:dyDescent="0.35">
      <c r="A169" s="30"/>
      <c r="B169" s="30"/>
      <c r="C169" s="30"/>
      <c r="D169" s="30"/>
      <c r="E169" s="30"/>
      <c r="F169" s="30"/>
      <c r="G169" s="30"/>
      <c r="H169" s="30"/>
      <c r="I169" s="30"/>
      <c r="J169" s="30"/>
    </row>
    <row r="170" spans="1:10" x14ac:dyDescent="0.35">
      <c r="A170" s="30"/>
      <c r="B170" s="30"/>
      <c r="C170" s="30"/>
      <c r="D170" s="30"/>
      <c r="E170" s="30"/>
      <c r="F170" s="30"/>
      <c r="G170" s="30"/>
      <c r="H170" s="30"/>
      <c r="I170" s="30"/>
      <c r="J170" s="30"/>
    </row>
    <row r="171" spans="1:10" x14ac:dyDescent="0.35">
      <c r="A171" s="30"/>
      <c r="B171" s="30"/>
      <c r="C171" s="30"/>
      <c r="D171" s="30"/>
      <c r="E171" s="30"/>
      <c r="F171" s="30"/>
      <c r="G171" s="30"/>
      <c r="H171" s="30"/>
      <c r="I171" s="30"/>
      <c r="J171" s="30"/>
    </row>
    <row r="172" spans="1:10" x14ac:dyDescent="0.35">
      <c r="A172" s="30"/>
      <c r="B172" s="30"/>
      <c r="C172" s="30"/>
      <c r="D172" s="30"/>
      <c r="E172" s="30"/>
      <c r="F172" s="30"/>
      <c r="G172" s="30"/>
      <c r="H172" s="30"/>
      <c r="I172" s="30"/>
      <c r="J172" s="30"/>
    </row>
  </sheetData>
  <mergeCells count="26">
    <mergeCell ref="F42:J44"/>
    <mergeCell ref="A23:E23"/>
    <mergeCell ref="F23:J31"/>
    <mergeCell ref="A27:E31"/>
    <mergeCell ref="A39:J40"/>
    <mergeCell ref="A41:E41"/>
    <mergeCell ref="F41:J41"/>
    <mergeCell ref="A1:K3"/>
    <mergeCell ref="A4:E4"/>
    <mergeCell ref="F4:J7"/>
    <mergeCell ref="A8:J8"/>
    <mergeCell ref="A21:J22"/>
    <mergeCell ref="A45:J49"/>
    <mergeCell ref="A92:XFD93"/>
    <mergeCell ref="A94:J115"/>
    <mergeCell ref="A66:E66"/>
    <mergeCell ref="F66:J70"/>
    <mergeCell ref="A70:E70"/>
    <mergeCell ref="A82:J83"/>
    <mergeCell ref="A84:E84"/>
    <mergeCell ref="F84:J88"/>
    <mergeCell ref="A88:E88"/>
    <mergeCell ref="A61:E62"/>
    <mergeCell ref="F61:J65"/>
    <mergeCell ref="A63:E63"/>
    <mergeCell ref="A65:E65"/>
  </mergeCells>
  <phoneticPr fontId="17" type="noConversion"/>
  <dataValidations count="2">
    <dataValidation type="list" allowBlank="1" showInputMessage="1" showErrorMessage="1" sqref="I90:I91 I51:I60 I10:I20 I33:I38" xr:uid="{41EDAF80-654E-4C6D-AF4F-4C8F9118BC8B}">
      <formula1>titles</formula1>
    </dataValidation>
    <dataValidation type="list" allowBlank="1" showInputMessage="1" showErrorMessage="1" sqref="B6 B25 C33:C38 B43 C51:C60 B68 K51:K60 B86 C90:C91 C10:C12 C14:C20 K10:K20 K33:K38 K90:K91" xr:uid="{99F8C0E3-BE57-4374-99DB-5800184BFA89}">
      <formula1>Statuses</formula1>
    </dataValidation>
  </dataValidations>
  <pageMargins left="0.7" right="0.7" top="0.75" bottom="0.75" header="0.3" footer="0.3"/>
  <pageSetup orientation="portrait" r:id="rId1"/>
  <tableParts count="10">
    <tablePart r:id="rId2"/>
    <tablePart r:id="rId3"/>
    <tablePart r:id="rId4"/>
    <tablePart r:id="rId5"/>
    <tablePart r:id="rId6"/>
    <tablePart r:id="rId7"/>
    <tablePart r:id="rId8"/>
    <tablePart r:id="rId9"/>
    <tablePart r:id="rId10"/>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798AA-DC57-4D7C-B1C7-960409A29030}">
  <dimension ref="A1:AK211"/>
  <sheetViews>
    <sheetView topLeftCell="G43" zoomScaleNormal="100" workbookViewId="0">
      <selection activeCell="L8" sqref="L8"/>
    </sheetView>
  </sheetViews>
  <sheetFormatPr defaultRowHeight="14.5" x14ac:dyDescent="0.35"/>
  <cols>
    <col min="1" max="1" width="33.81640625" customWidth="1"/>
    <col min="2" max="2" width="58.54296875" customWidth="1"/>
    <col min="3" max="3" width="30.7265625" customWidth="1"/>
    <col min="4" max="4" width="28.26953125" customWidth="1"/>
    <col min="5" max="5" width="29" customWidth="1"/>
    <col min="6" max="6" width="18.7265625" customWidth="1"/>
    <col min="7" max="7" width="14.81640625" customWidth="1"/>
    <col min="8" max="8" width="31.1796875" customWidth="1"/>
    <col min="9" max="9" width="25.453125" customWidth="1"/>
    <col min="10" max="10" width="25.1796875" customWidth="1"/>
    <col min="11" max="11" width="17.1796875" customWidth="1"/>
    <col min="12" max="12" width="45.81640625" customWidth="1"/>
  </cols>
  <sheetData>
    <row r="1" spans="1:37" ht="15" thickBot="1" x14ac:dyDescent="0.4">
      <c r="A1" s="257"/>
      <c r="B1" s="257"/>
      <c r="C1" s="257"/>
      <c r="D1" s="257"/>
      <c r="E1" s="257"/>
      <c r="F1" s="257"/>
      <c r="G1" s="257"/>
      <c r="H1" s="257"/>
      <c r="I1" s="257"/>
      <c r="J1" s="257"/>
      <c r="K1" s="236"/>
      <c r="L1" s="236"/>
      <c r="M1" s="236"/>
      <c r="N1" s="236"/>
      <c r="O1" s="236"/>
      <c r="P1" s="236"/>
      <c r="Q1" s="236"/>
      <c r="R1" s="236"/>
      <c r="S1" s="236"/>
      <c r="T1" s="236"/>
      <c r="U1" s="236"/>
      <c r="V1" s="236"/>
      <c r="W1" s="236"/>
      <c r="X1" s="236"/>
      <c r="Y1" s="236"/>
      <c r="Z1" s="236"/>
      <c r="AA1" s="236"/>
      <c r="AB1" s="236"/>
      <c r="AC1" s="236"/>
      <c r="AD1" s="236"/>
      <c r="AE1" s="236"/>
      <c r="AF1" s="236"/>
      <c r="AG1" s="236"/>
      <c r="AH1" s="236"/>
      <c r="AI1" s="236"/>
    </row>
    <row r="2" spans="1:37" ht="33.5" x14ac:dyDescent="0.75">
      <c r="A2" s="265" t="s">
        <v>299</v>
      </c>
      <c r="B2" s="266"/>
      <c r="C2" s="266"/>
      <c r="D2" s="266"/>
      <c r="E2" s="267"/>
      <c r="F2" s="257"/>
      <c r="G2" s="257"/>
      <c r="H2" s="257"/>
      <c r="I2" s="257"/>
      <c r="J2" s="257"/>
      <c r="K2" s="236"/>
      <c r="L2" s="236"/>
      <c r="M2" s="236"/>
      <c r="N2" s="236"/>
      <c r="O2" s="236"/>
      <c r="P2" s="236"/>
      <c r="Q2" s="236"/>
      <c r="R2" s="236"/>
      <c r="S2" s="236"/>
      <c r="T2" s="236"/>
      <c r="U2" s="236"/>
      <c r="V2" s="236"/>
      <c r="W2" s="236"/>
      <c r="X2" s="236"/>
      <c r="Y2" s="236"/>
      <c r="Z2" s="236"/>
      <c r="AA2" s="236"/>
      <c r="AB2" s="236"/>
      <c r="AC2" s="236"/>
      <c r="AD2" s="236"/>
      <c r="AE2" s="236"/>
      <c r="AF2" s="236"/>
      <c r="AG2" s="236"/>
      <c r="AH2" s="236"/>
      <c r="AI2" s="236"/>
    </row>
    <row r="3" spans="1:37" x14ac:dyDescent="0.35">
      <c r="A3" s="24" t="s">
        <v>223</v>
      </c>
      <c r="B3" t="s">
        <v>224</v>
      </c>
      <c r="C3" t="s">
        <v>225</v>
      </c>
      <c r="D3" t="s">
        <v>226</v>
      </c>
      <c r="E3" s="14" t="s">
        <v>227</v>
      </c>
      <c r="F3" s="257"/>
      <c r="G3" s="257"/>
      <c r="H3" s="257"/>
      <c r="I3" s="257"/>
      <c r="J3" s="257"/>
      <c r="K3" s="236"/>
      <c r="L3" s="236"/>
      <c r="M3" s="236"/>
      <c r="N3" s="236"/>
      <c r="O3" s="236"/>
      <c r="P3" s="236"/>
      <c r="Q3" s="236"/>
      <c r="R3" s="236"/>
      <c r="S3" s="236"/>
      <c r="T3" s="236"/>
      <c r="U3" s="236"/>
      <c r="V3" s="236"/>
      <c r="W3" s="236"/>
      <c r="X3" s="236"/>
      <c r="Y3" s="236"/>
      <c r="Z3" s="236"/>
      <c r="AA3" s="236"/>
      <c r="AB3" s="236"/>
      <c r="AC3" s="236"/>
      <c r="AD3" s="236"/>
      <c r="AE3" s="236"/>
      <c r="AF3" s="236"/>
      <c r="AG3" s="236"/>
      <c r="AH3" s="236"/>
      <c r="AI3" s="236"/>
    </row>
    <row r="4" spans="1:37" ht="77.5" x14ac:dyDescent="0.35">
      <c r="A4" s="25" t="s">
        <v>300</v>
      </c>
      <c r="B4" t="s">
        <v>33</v>
      </c>
      <c r="E4" s="14"/>
      <c r="F4" s="257"/>
      <c r="G4" s="257"/>
      <c r="H4" s="257"/>
      <c r="I4" s="257"/>
      <c r="J4" s="257"/>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row>
    <row r="5" spans="1:37" ht="50.15" customHeight="1" thickBot="1" x14ac:dyDescent="0.4">
      <c r="A5" s="9"/>
      <c r="B5" s="10"/>
      <c r="C5" s="10"/>
      <c r="D5" s="10"/>
      <c r="E5" s="11"/>
      <c r="F5" s="257"/>
      <c r="G5" s="257"/>
      <c r="H5" s="257"/>
      <c r="I5" s="257"/>
      <c r="J5" s="257"/>
      <c r="K5" s="236"/>
      <c r="L5" s="236"/>
      <c r="M5" s="236"/>
      <c r="N5" s="236"/>
      <c r="O5" s="236"/>
      <c r="P5" s="236"/>
      <c r="Q5" s="236"/>
      <c r="R5" s="236"/>
      <c r="S5" s="236"/>
      <c r="T5" s="236"/>
      <c r="U5" s="236"/>
      <c r="V5" s="236"/>
      <c r="W5" s="236"/>
      <c r="X5" s="236"/>
      <c r="Y5" s="236"/>
      <c r="Z5" s="236"/>
      <c r="AA5" s="236"/>
      <c r="AB5" s="236"/>
      <c r="AC5" s="236"/>
      <c r="AD5" s="236"/>
      <c r="AE5" s="236"/>
      <c r="AF5" s="236"/>
      <c r="AG5" s="236"/>
      <c r="AH5" s="236"/>
      <c r="AI5" s="236"/>
    </row>
    <row r="6" spans="1:37" x14ac:dyDescent="0.35">
      <c r="A6" s="257"/>
      <c r="B6" s="257"/>
      <c r="C6" s="257"/>
      <c r="D6" s="257"/>
      <c r="E6" s="257"/>
      <c r="F6" s="257"/>
      <c r="G6" s="257"/>
      <c r="H6" s="257"/>
      <c r="I6" s="257"/>
      <c r="J6" s="257"/>
      <c r="K6" s="236"/>
      <c r="L6" s="236"/>
      <c r="M6" s="236"/>
      <c r="N6" s="236"/>
      <c r="O6" s="236"/>
      <c r="P6" s="236"/>
      <c r="Q6" s="236"/>
      <c r="R6" s="236"/>
      <c r="S6" s="236"/>
      <c r="T6" s="236"/>
      <c r="U6" s="236"/>
      <c r="V6" s="236"/>
      <c r="W6" s="236"/>
      <c r="X6" s="236"/>
      <c r="Y6" s="236"/>
      <c r="Z6" s="236"/>
      <c r="AA6" s="236"/>
      <c r="AB6" s="236"/>
      <c r="AC6" s="236"/>
      <c r="AD6" s="236"/>
      <c r="AE6" s="236"/>
      <c r="AF6" s="236"/>
      <c r="AG6" s="236"/>
      <c r="AH6" s="236"/>
      <c r="AI6" s="236"/>
    </row>
    <row r="7" spans="1:37" ht="15" thickBot="1" x14ac:dyDescent="0.4">
      <c r="A7" t="s">
        <v>3</v>
      </c>
      <c r="B7" t="s">
        <v>4</v>
      </c>
      <c r="C7" t="s">
        <v>230</v>
      </c>
      <c r="D7" t="s">
        <v>231</v>
      </c>
      <c r="E7" t="s">
        <v>232</v>
      </c>
      <c r="F7" t="s">
        <v>233</v>
      </c>
      <c r="G7" t="s">
        <v>234</v>
      </c>
      <c r="H7" t="s">
        <v>235</v>
      </c>
      <c r="I7" t="s">
        <v>236</v>
      </c>
      <c r="J7" t="s">
        <v>253</v>
      </c>
      <c r="K7" t="s">
        <v>238</v>
      </c>
      <c r="L7" t="s">
        <v>6</v>
      </c>
      <c r="M7" s="236"/>
      <c r="N7" s="236"/>
      <c r="O7" s="236"/>
      <c r="P7" s="236"/>
      <c r="Q7" s="236"/>
      <c r="R7" s="236"/>
      <c r="S7" s="236"/>
      <c r="T7" s="236"/>
      <c r="U7" s="236"/>
      <c r="V7" s="236"/>
      <c r="W7" s="236"/>
      <c r="X7" s="236"/>
      <c r="Y7" s="236"/>
      <c r="Z7" s="236"/>
      <c r="AA7" s="236"/>
      <c r="AB7" s="236"/>
      <c r="AC7" s="236"/>
      <c r="AD7" s="236"/>
      <c r="AE7" s="236"/>
      <c r="AF7" s="236"/>
      <c r="AG7" s="236"/>
      <c r="AH7" s="236"/>
      <c r="AI7" s="236"/>
      <c r="AJ7" s="236"/>
      <c r="AK7" s="236"/>
    </row>
    <row r="8" spans="1:37" ht="98.15" customHeight="1" x14ac:dyDescent="0.5">
      <c r="A8" s="44" t="s">
        <v>301</v>
      </c>
      <c r="B8" s="12" t="s">
        <v>26</v>
      </c>
      <c r="C8" s="7"/>
      <c r="D8" s="7"/>
      <c r="E8" s="7"/>
      <c r="F8" s="7"/>
      <c r="G8" s="7"/>
      <c r="H8" s="7"/>
      <c r="I8" s="97" t="s">
        <v>23</v>
      </c>
      <c r="J8" s="7"/>
      <c r="K8" s="50" t="s">
        <v>33</v>
      </c>
      <c r="L8" s="55" t="s">
        <v>27</v>
      </c>
      <c r="M8" s="236"/>
      <c r="N8" s="236"/>
      <c r="O8" s="236"/>
      <c r="P8" s="236"/>
      <c r="Q8" s="236"/>
      <c r="R8" s="236"/>
      <c r="S8" s="236"/>
      <c r="T8" s="236"/>
      <c r="U8" s="236"/>
      <c r="V8" s="236"/>
      <c r="W8" s="236"/>
      <c r="X8" s="236"/>
      <c r="Y8" s="236"/>
      <c r="Z8" s="236"/>
      <c r="AA8" s="236"/>
      <c r="AB8" s="236"/>
      <c r="AC8" s="236"/>
      <c r="AD8" s="236"/>
      <c r="AE8" s="236"/>
      <c r="AF8" s="236"/>
      <c r="AG8" s="236"/>
      <c r="AH8" s="236"/>
      <c r="AI8" s="236"/>
      <c r="AJ8" s="236"/>
      <c r="AK8" s="236"/>
    </row>
    <row r="9" spans="1:37" ht="112.5" customHeight="1" x14ac:dyDescent="0.5">
      <c r="A9" s="45" t="s">
        <v>302</v>
      </c>
      <c r="B9" s="13" t="s">
        <v>131</v>
      </c>
      <c r="I9" s="98" t="s">
        <v>132</v>
      </c>
      <c r="K9" s="51" t="s">
        <v>33</v>
      </c>
      <c r="L9" s="54" t="s">
        <v>133</v>
      </c>
      <c r="M9" s="236"/>
      <c r="N9" s="236"/>
      <c r="O9" s="236"/>
      <c r="P9" s="236"/>
      <c r="Q9" s="236"/>
      <c r="R9" s="236"/>
      <c r="S9" s="236"/>
      <c r="T9" s="236"/>
      <c r="U9" s="236"/>
      <c r="V9" s="236"/>
      <c r="W9" s="236"/>
      <c r="X9" s="236"/>
      <c r="Y9" s="236"/>
      <c r="Z9" s="236"/>
      <c r="AA9" s="236"/>
      <c r="AB9" s="236"/>
      <c r="AC9" s="236"/>
      <c r="AD9" s="236"/>
      <c r="AE9" s="236"/>
      <c r="AF9" s="236"/>
      <c r="AG9" s="236"/>
      <c r="AH9" s="236"/>
      <c r="AI9" s="236"/>
      <c r="AJ9" s="236"/>
      <c r="AK9" s="236"/>
    </row>
    <row r="10" spans="1:37" s="2" customFormat="1" ht="21" customHeight="1" x14ac:dyDescent="0.5">
      <c r="A10" s="107" t="s">
        <v>242</v>
      </c>
      <c r="B10" s="119" t="s">
        <v>240</v>
      </c>
      <c r="C10" s="106"/>
      <c r="D10" s="106"/>
      <c r="E10" s="106"/>
      <c r="F10" s="106"/>
      <c r="G10" s="106"/>
      <c r="H10" s="106"/>
      <c r="I10" s="109"/>
      <c r="J10" s="106"/>
      <c r="K10" s="110"/>
      <c r="L10" s="120"/>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row>
    <row r="11" spans="1:37" s="2" customFormat="1" ht="21" customHeight="1" x14ac:dyDescent="0.5">
      <c r="A11" s="107" t="s">
        <v>303</v>
      </c>
      <c r="B11" s="119" t="s">
        <v>240</v>
      </c>
      <c r="C11" s="106"/>
      <c r="D11" s="106"/>
      <c r="E11" s="106"/>
      <c r="F11" s="106"/>
      <c r="G11" s="106"/>
      <c r="H11" s="106"/>
      <c r="I11" s="109"/>
      <c r="J11" s="106"/>
      <c r="K11" s="110"/>
      <c r="L11" s="120"/>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row>
    <row r="12" spans="1:37" s="106" customFormat="1" ht="24.65" customHeight="1" x14ac:dyDescent="0.5">
      <c r="A12" s="107" t="s">
        <v>244</v>
      </c>
      <c r="B12" s="119" t="s">
        <v>240</v>
      </c>
      <c r="I12" s="109"/>
      <c r="K12" s="110" t="s">
        <v>33</v>
      </c>
      <c r="L12" s="120" t="s">
        <v>304</v>
      </c>
    </row>
    <row r="13" spans="1:37" ht="88.5" customHeight="1" thickBot="1" x14ac:dyDescent="0.55000000000000004">
      <c r="A13" s="46" t="s">
        <v>305</v>
      </c>
      <c r="B13" s="15" t="s">
        <v>165</v>
      </c>
      <c r="C13" s="10"/>
      <c r="D13" s="10"/>
      <c r="E13" s="10"/>
      <c r="F13" s="10"/>
      <c r="G13" s="10"/>
      <c r="H13" s="10"/>
      <c r="I13" s="99" t="s">
        <v>166</v>
      </c>
      <c r="J13" s="10"/>
      <c r="K13" s="52" t="s">
        <v>38</v>
      </c>
      <c r="L13" s="56" t="s">
        <v>167</v>
      </c>
      <c r="M13" s="236"/>
      <c r="N13" s="236"/>
      <c r="O13" s="236"/>
      <c r="P13" s="236"/>
      <c r="Q13" s="236"/>
      <c r="R13" s="236"/>
      <c r="S13" s="236"/>
      <c r="T13" s="236"/>
      <c r="U13" s="236"/>
      <c r="V13" s="236"/>
      <c r="W13" s="236"/>
      <c r="X13" s="236"/>
      <c r="Y13" s="236"/>
      <c r="Z13" s="236"/>
      <c r="AA13" s="236"/>
      <c r="AB13" s="236"/>
      <c r="AC13" s="236"/>
      <c r="AD13" s="236"/>
      <c r="AE13" s="236"/>
      <c r="AF13" s="236"/>
      <c r="AG13" s="236"/>
      <c r="AH13" s="236"/>
      <c r="AI13" s="236"/>
      <c r="AJ13" s="236"/>
      <c r="AK13" s="236"/>
    </row>
    <row r="14" spans="1:37" x14ac:dyDescent="0.35">
      <c r="A14" s="257"/>
      <c r="B14" s="257"/>
      <c r="C14" s="257"/>
      <c r="D14" s="257"/>
      <c r="E14" s="257"/>
      <c r="F14" s="257"/>
      <c r="G14" s="257"/>
      <c r="H14" s="257"/>
      <c r="I14" s="257"/>
      <c r="J14" s="257"/>
      <c r="K14" s="236"/>
      <c r="L14" s="236"/>
      <c r="M14" s="236"/>
      <c r="N14" s="236"/>
      <c r="O14" s="236"/>
      <c r="P14" s="236"/>
      <c r="Q14" s="236"/>
      <c r="R14" s="236"/>
      <c r="S14" s="236"/>
      <c r="T14" s="236"/>
      <c r="U14" s="236"/>
      <c r="V14" s="236"/>
      <c r="W14" s="236"/>
      <c r="X14" s="236"/>
      <c r="Y14" s="236"/>
      <c r="Z14" s="236"/>
      <c r="AA14" s="236"/>
      <c r="AB14" s="236"/>
      <c r="AC14" s="236"/>
      <c r="AD14" s="236"/>
      <c r="AE14" s="236"/>
      <c r="AF14" s="236"/>
      <c r="AG14" s="236"/>
      <c r="AH14" s="236"/>
      <c r="AI14" s="236"/>
    </row>
    <row r="15" spans="1:37" ht="15" thickBot="1" x14ac:dyDescent="0.4">
      <c r="A15" s="257"/>
      <c r="B15" s="257"/>
      <c r="C15" s="257"/>
      <c r="D15" s="257"/>
      <c r="E15" s="257"/>
      <c r="F15" s="257"/>
      <c r="G15" s="257"/>
      <c r="H15" s="257"/>
      <c r="I15" s="257"/>
      <c r="J15" s="257"/>
      <c r="K15" s="236"/>
      <c r="L15" s="236"/>
      <c r="M15" s="236"/>
      <c r="N15" s="236"/>
      <c r="O15" s="236"/>
      <c r="P15" s="236"/>
      <c r="Q15" s="236"/>
      <c r="R15" s="236"/>
      <c r="S15" s="236"/>
      <c r="T15" s="236"/>
      <c r="U15" s="236"/>
      <c r="V15" s="236"/>
      <c r="W15" s="236"/>
      <c r="X15" s="236"/>
      <c r="Y15" s="236"/>
      <c r="Z15" s="236"/>
      <c r="AA15" s="236"/>
      <c r="AB15" s="236"/>
      <c r="AC15" s="236"/>
      <c r="AD15" s="236"/>
      <c r="AE15" s="236"/>
      <c r="AF15" s="236"/>
      <c r="AG15" s="236"/>
      <c r="AH15" s="236"/>
      <c r="AI15" s="236"/>
    </row>
    <row r="16" spans="1:37" s="5" customFormat="1" ht="34" thickBot="1" x14ac:dyDescent="0.8">
      <c r="A16" s="249" t="s">
        <v>306</v>
      </c>
      <c r="B16" s="250"/>
      <c r="C16" s="250"/>
      <c r="D16" s="250"/>
      <c r="E16" s="251"/>
      <c r="F16" s="264"/>
      <c r="G16" s="264"/>
      <c r="H16" s="264"/>
      <c r="I16" s="264"/>
      <c r="J16" s="257"/>
      <c r="K16" s="239"/>
      <c r="L16" s="239"/>
      <c r="M16" s="239"/>
      <c r="N16" s="239"/>
      <c r="O16" s="239"/>
      <c r="P16" s="239"/>
      <c r="Q16" s="239"/>
      <c r="R16" s="239"/>
      <c r="S16" s="239"/>
      <c r="T16" s="239"/>
      <c r="U16" s="239"/>
      <c r="V16" s="239"/>
      <c r="W16" s="239"/>
      <c r="X16" s="239"/>
      <c r="Y16" s="239"/>
      <c r="Z16" s="239"/>
      <c r="AA16" s="239"/>
      <c r="AB16" s="239"/>
      <c r="AC16" s="239"/>
      <c r="AD16" s="239"/>
      <c r="AE16" s="239"/>
      <c r="AF16" s="239"/>
      <c r="AG16" s="239"/>
      <c r="AH16" s="239"/>
      <c r="AI16" s="239"/>
    </row>
    <row r="17" spans="1:37" ht="32.15" customHeight="1" thickBot="1" x14ac:dyDescent="0.4">
      <c r="A17" s="257"/>
      <c r="B17" s="257"/>
      <c r="C17" s="257"/>
      <c r="D17" s="257"/>
      <c r="E17" s="257"/>
      <c r="F17" s="257"/>
      <c r="G17" s="257"/>
      <c r="H17" s="257"/>
      <c r="I17" s="257"/>
      <c r="J17" s="257"/>
      <c r="K17" s="236"/>
      <c r="L17" s="236"/>
      <c r="M17" s="236"/>
      <c r="N17" s="236"/>
      <c r="O17" s="236"/>
      <c r="P17" s="236"/>
      <c r="Q17" s="236"/>
      <c r="R17" s="236"/>
      <c r="S17" s="236"/>
      <c r="T17" s="236"/>
      <c r="U17" s="236"/>
      <c r="V17" s="236"/>
      <c r="W17" s="236"/>
      <c r="X17" s="236"/>
      <c r="Y17" s="236"/>
      <c r="Z17" s="236"/>
      <c r="AA17" s="236"/>
      <c r="AB17" s="236"/>
      <c r="AC17" s="236"/>
      <c r="AD17" s="236"/>
      <c r="AE17" s="236"/>
      <c r="AF17" s="236"/>
      <c r="AG17" s="236"/>
      <c r="AH17" s="236"/>
      <c r="AI17" s="236"/>
    </row>
    <row r="18" spans="1:37" s="5" customFormat="1" ht="34" thickBot="1" x14ac:dyDescent="0.8">
      <c r="A18" s="249" t="s">
        <v>307</v>
      </c>
      <c r="B18" s="250"/>
      <c r="C18" s="250"/>
      <c r="D18" s="250"/>
      <c r="E18" s="251"/>
      <c r="F18" s="269"/>
      <c r="G18" s="264"/>
      <c r="H18" s="264"/>
      <c r="I18" s="264"/>
      <c r="J18" s="257"/>
      <c r="K18" s="239"/>
      <c r="L18" s="239"/>
      <c r="M18" s="239"/>
      <c r="N18" s="239"/>
      <c r="O18" s="239"/>
      <c r="P18" s="239"/>
      <c r="Q18" s="239"/>
      <c r="R18" s="239"/>
      <c r="S18" s="239"/>
      <c r="T18" s="239"/>
      <c r="U18" s="239"/>
      <c r="V18" s="239"/>
      <c r="W18" s="239"/>
      <c r="X18" s="239"/>
      <c r="Y18" s="239"/>
      <c r="Z18" s="239"/>
      <c r="AA18" s="239"/>
      <c r="AB18" s="239"/>
      <c r="AC18" s="239"/>
      <c r="AD18" s="239"/>
      <c r="AE18" s="239"/>
      <c r="AF18" s="239"/>
      <c r="AG18" s="239"/>
      <c r="AH18" s="239"/>
      <c r="AI18" s="239"/>
    </row>
    <row r="19" spans="1:37" x14ac:dyDescent="0.35">
      <c r="A19" s="257"/>
      <c r="B19" s="257"/>
      <c r="C19" s="257"/>
      <c r="D19" s="257"/>
      <c r="E19" s="257"/>
      <c r="F19" s="257"/>
      <c r="G19" s="257"/>
      <c r="H19" s="257"/>
      <c r="I19" s="257"/>
      <c r="J19" s="257"/>
      <c r="K19" s="236"/>
      <c r="L19" s="236"/>
      <c r="M19" s="236"/>
      <c r="N19" s="236"/>
      <c r="O19" s="236"/>
      <c r="P19" s="236"/>
      <c r="Q19" s="236"/>
      <c r="R19" s="236"/>
      <c r="S19" s="236"/>
      <c r="T19" s="236"/>
      <c r="U19" s="236"/>
      <c r="V19" s="236"/>
      <c r="W19" s="236"/>
      <c r="X19" s="236"/>
      <c r="Y19" s="236"/>
      <c r="Z19" s="236"/>
      <c r="AA19" s="236"/>
      <c r="AB19" s="236"/>
      <c r="AC19" s="236"/>
      <c r="AD19" s="236"/>
      <c r="AE19" s="236"/>
      <c r="AF19" s="236"/>
      <c r="AG19" s="236"/>
      <c r="AH19" s="236"/>
      <c r="AI19" s="236"/>
    </row>
    <row r="20" spans="1:37" ht="15" thickBot="1" x14ac:dyDescent="0.4">
      <c r="A20" s="257"/>
      <c r="B20" s="257"/>
      <c r="C20" s="257"/>
      <c r="D20" s="257"/>
      <c r="E20" s="257"/>
      <c r="F20" s="257"/>
      <c r="G20" s="257"/>
      <c r="H20" s="257"/>
      <c r="I20" s="257"/>
      <c r="J20" s="257"/>
      <c r="K20" s="236"/>
      <c r="L20" s="236"/>
      <c r="M20" s="236"/>
      <c r="N20" s="236"/>
      <c r="O20" s="236"/>
      <c r="P20" s="236"/>
      <c r="Q20" s="236"/>
      <c r="R20" s="236"/>
      <c r="S20" s="236"/>
      <c r="T20" s="236"/>
      <c r="U20" s="236"/>
      <c r="V20" s="236"/>
      <c r="W20" s="236"/>
      <c r="X20" s="236"/>
      <c r="Y20" s="236"/>
      <c r="Z20" s="236"/>
      <c r="AA20" s="236"/>
      <c r="AB20" s="236"/>
      <c r="AC20" s="236"/>
      <c r="AD20" s="236"/>
      <c r="AE20" s="236"/>
      <c r="AF20" s="236"/>
      <c r="AG20" s="236"/>
      <c r="AH20" s="236"/>
      <c r="AI20" s="236"/>
    </row>
    <row r="21" spans="1:37" s="5" customFormat="1" ht="34" thickBot="1" x14ac:dyDescent="0.8">
      <c r="A21" s="249" t="s">
        <v>308</v>
      </c>
      <c r="B21" s="250"/>
      <c r="C21" s="250"/>
      <c r="D21" s="250"/>
      <c r="E21" s="251"/>
      <c r="F21" s="270"/>
      <c r="G21" s="270"/>
      <c r="H21" s="270"/>
      <c r="I21" s="270"/>
      <c r="J21" s="257"/>
      <c r="K21" s="239"/>
      <c r="L21" s="239"/>
      <c r="M21" s="239"/>
      <c r="N21" s="239"/>
      <c r="O21" s="239"/>
      <c r="P21" s="239"/>
      <c r="Q21" s="239"/>
      <c r="R21" s="239"/>
      <c r="S21" s="239"/>
      <c r="T21" s="239"/>
      <c r="U21" s="239"/>
      <c r="V21" s="239"/>
      <c r="W21" s="239"/>
      <c r="X21" s="239"/>
      <c r="Y21" s="239"/>
      <c r="Z21" s="239"/>
      <c r="AA21" s="239"/>
      <c r="AB21" s="239"/>
      <c r="AC21" s="239"/>
      <c r="AD21" s="239"/>
      <c r="AE21" s="239"/>
      <c r="AF21" s="239"/>
      <c r="AG21" s="239"/>
      <c r="AH21" s="239"/>
      <c r="AI21" s="239"/>
    </row>
    <row r="22" spans="1:37" ht="15" thickBot="1" x14ac:dyDescent="0.4">
      <c r="A22" t="s">
        <v>223</v>
      </c>
      <c r="B22" t="s">
        <v>224</v>
      </c>
      <c r="C22" t="s">
        <v>225</v>
      </c>
      <c r="D22" t="s">
        <v>226</v>
      </c>
      <c r="E22" t="s">
        <v>227</v>
      </c>
      <c r="F22" s="270"/>
      <c r="G22" s="270"/>
      <c r="H22" s="270"/>
      <c r="I22" s="270"/>
      <c r="J22" s="257"/>
      <c r="K22" s="236"/>
      <c r="L22" s="236"/>
      <c r="M22" s="236"/>
      <c r="N22" s="236"/>
      <c r="O22" s="236"/>
      <c r="P22" s="236"/>
      <c r="Q22" s="236"/>
      <c r="R22" s="236"/>
      <c r="S22" s="236"/>
      <c r="T22" s="236"/>
      <c r="U22" s="236"/>
      <c r="V22" s="236"/>
      <c r="W22" s="236"/>
      <c r="X22" s="236"/>
      <c r="Y22" s="236"/>
      <c r="Z22" s="236"/>
      <c r="AA22" s="236"/>
      <c r="AB22" s="236"/>
      <c r="AC22" s="236"/>
      <c r="AD22" s="236"/>
      <c r="AE22" s="236"/>
      <c r="AF22" s="236"/>
      <c r="AG22" s="236"/>
      <c r="AH22" s="236"/>
      <c r="AI22" s="236"/>
    </row>
    <row r="23" spans="1:37" ht="77.5" x14ac:dyDescent="0.35">
      <c r="A23" s="6" t="s">
        <v>300</v>
      </c>
      <c r="B23" s="7" t="s">
        <v>33</v>
      </c>
      <c r="C23" s="7"/>
      <c r="D23" s="7"/>
      <c r="E23" s="8"/>
      <c r="F23" s="270"/>
      <c r="G23" s="270"/>
      <c r="H23" s="270"/>
      <c r="I23" s="270"/>
      <c r="J23" s="257"/>
      <c r="K23" s="236"/>
      <c r="L23" s="236"/>
      <c r="M23" s="236"/>
      <c r="N23" s="236"/>
      <c r="O23" s="236"/>
      <c r="P23" s="236"/>
      <c r="Q23" s="236"/>
      <c r="R23" s="236"/>
      <c r="S23" s="236"/>
      <c r="T23" s="236"/>
      <c r="U23" s="236"/>
      <c r="V23" s="236"/>
      <c r="W23" s="236"/>
      <c r="X23" s="236"/>
      <c r="Y23" s="236"/>
      <c r="Z23" s="236"/>
      <c r="AA23" s="236"/>
      <c r="AB23" s="236"/>
      <c r="AC23" s="236"/>
      <c r="AD23" s="236"/>
      <c r="AE23" s="236"/>
      <c r="AF23" s="236"/>
      <c r="AG23" s="236"/>
      <c r="AH23" s="236"/>
      <c r="AI23" s="236"/>
    </row>
    <row r="24" spans="1:37" ht="64.5" customHeight="1" thickBot="1" x14ac:dyDescent="0.4">
      <c r="A24" s="9"/>
      <c r="B24" s="10"/>
      <c r="C24" s="10"/>
      <c r="D24" s="10"/>
      <c r="E24" s="11"/>
      <c r="F24" s="270"/>
      <c r="G24" s="270"/>
      <c r="H24" s="270"/>
      <c r="I24" s="270"/>
      <c r="J24" s="257"/>
      <c r="K24" s="236"/>
      <c r="L24" s="236"/>
      <c r="M24" s="236"/>
      <c r="N24" s="236"/>
      <c r="O24" s="236"/>
      <c r="P24" s="236"/>
      <c r="Q24" s="236"/>
      <c r="R24" s="236"/>
      <c r="S24" s="236"/>
      <c r="T24" s="236"/>
      <c r="U24" s="236"/>
      <c r="V24" s="236"/>
      <c r="W24" s="236"/>
      <c r="X24" s="236"/>
      <c r="Y24" s="236"/>
      <c r="Z24" s="236"/>
      <c r="AA24" s="236"/>
      <c r="AB24" s="236"/>
      <c r="AC24" s="236"/>
      <c r="AD24" s="236"/>
      <c r="AE24" s="236"/>
      <c r="AF24" s="236"/>
      <c r="AG24" s="236"/>
      <c r="AH24" s="236"/>
      <c r="AI24" s="236"/>
    </row>
    <row r="25" spans="1:37" ht="28.5" customHeight="1" x14ac:dyDescent="0.35">
      <c r="A25" s="257"/>
      <c r="B25" s="257"/>
      <c r="C25" s="257"/>
      <c r="D25" s="257"/>
      <c r="E25" s="257"/>
      <c r="F25" s="270"/>
      <c r="G25" s="270"/>
      <c r="H25" s="270"/>
      <c r="I25" s="270"/>
      <c r="J25" s="257"/>
      <c r="K25" s="236"/>
      <c r="L25" s="236"/>
      <c r="M25" s="236"/>
      <c r="N25" s="236"/>
      <c r="O25" s="236"/>
      <c r="P25" s="236"/>
      <c r="Q25" s="236"/>
      <c r="R25" s="236"/>
      <c r="S25" s="236"/>
      <c r="T25" s="236"/>
      <c r="U25" s="236"/>
      <c r="V25" s="236"/>
      <c r="W25" s="236"/>
      <c r="X25" s="236"/>
      <c r="Y25" s="236"/>
      <c r="Z25" s="236"/>
      <c r="AA25" s="236"/>
      <c r="AB25" s="236"/>
      <c r="AC25" s="236"/>
      <c r="AD25" s="236"/>
      <c r="AE25" s="236"/>
      <c r="AF25" s="236"/>
      <c r="AG25" s="236"/>
      <c r="AH25" s="236"/>
      <c r="AI25" s="236"/>
    </row>
    <row r="26" spans="1:37" ht="15" thickBot="1" x14ac:dyDescent="0.4">
      <c r="A26" t="s">
        <v>3</v>
      </c>
      <c r="B26" t="s">
        <v>4</v>
      </c>
      <c r="C26" t="s">
        <v>230</v>
      </c>
      <c r="D26" t="s">
        <v>231</v>
      </c>
      <c r="E26" t="s">
        <v>232</v>
      </c>
      <c r="F26" t="s">
        <v>233</v>
      </c>
      <c r="G26" t="s">
        <v>234</v>
      </c>
      <c r="H26" t="s">
        <v>235</v>
      </c>
      <c r="I26" t="s">
        <v>236</v>
      </c>
      <c r="J26" t="s">
        <v>253</v>
      </c>
      <c r="K26" t="s">
        <v>238</v>
      </c>
      <c r="L26" t="s">
        <v>6</v>
      </c>
      <c r="M26" s="236"/>
      <c r="N26" s="236"/>
      <c r="O26" s="236"/>
      <c r="P26" s="236"/>
      <c r="Q26" s="236"/>
      <c r="R26" s="236"/>
      <c r="S26" s="236"/>
      <c r="T26" s="236"/>
      <c r="U26" s="236"/>
      <c r="V26" s="236"/>
      <c r="W26" s="236"/>
      <c r="X26" s="236"/>
      <c r="Y26" s="236"/>
      <c r="Z26" s="236"/>
      <c r="AA26" s="236"/>
      <c r="AB26" s="236"/>
      <c r="AC26" s="236"/>
      <c r="AD26" s="236"/>
      <c r="AE26" s="236"/>
      <c r="AF26" s="236"/>
      <c r="AG26" s="236"/>
      <c r="AH26" s="236"/>
      <c r="AI26" s="236"/>
      <c r="AJ26" s="236"/>
      <c r="AK26" s="236"/>
    </row>
    <row r="27" spans="1:37" ht="47.5" customHeight="1" x14ac:dyDescent="0.5">
      <c r="A27" s="44" t="s">
        <v>254</v>
      </c>
      <c r="B27" s="155" t="s">
        <v>136</v>
      </c>
      <c r="C27" s="163"/>
      <c r="D27" s="7"/>
      <c r="E27" s="7"/>
      <c r="F27" s="7"/>
      <c r="G27" s="7"/>
      <c r="H27" s="65"/>
      <c r="I27" s="159" t="s">
        <v>132</v>
      </c>
      <c r="J27" s="7"/>
      <c r="K27" s="167" t="s">
        <v>33</v>
      </c>
      <c r="L27" s="171" t="s">
        <v>137</v>
      </c>
      <c r="M27" s="236"/>
      <c r="N27" s="236"/>
      <c r="O27" s="236"/>
      <c r="P27" s="236"/>
      <c r="Q27" s="236"/>
      <c r="R27" s="236"/>
      <c r="S27" s="236"/>
      <c r="T27" s="236"/>
      <c r="U27" s="236"/>
      <c r="V27" s="236"/>
      <c r="W27" s="236"/>
      <c r="X27" s="236"/>
      <c r="Y27" s="236"/>
      <c r="Z27" s="236"/>
      <c r="AA27" s="236"/>
      <c r="AB27" s="236"/>
      <c r="AC27" s="236"/>
      <c r="AD27" s="236"/>
      <c r="AE27" s="236"/>
      <c r="AF27" s="236"/>
      <c r="AG27" s="236"/>
      <c r="AH27" s="236"/>
      <c r="AI27" s="236"/>
      <c r="AJ27" s="236"/>
      <c r="AK27" s="236"/>
    </row>
    <row r="28" spans="1:37" s="2" customFormat="1" ht="21" x14ac:dyDescent="0.5">
      <c r="A28" s="107" t="s">
        <v>255</v>
      </c>
      <c r="B28" s="156" t="s">
        <v>240</v>
      </c>
      <c r="C28" s="164"/>
      <c r="D28" s="106"/>
      <c r="E28" s="106"/>
      <c r="F28" s="106"/>
      <c r="G28" s="106"/>
      <c r="H28" s="109"/>
      <c r="I28" s="160"/>
      <c r="J28" s="106"/>
      <c r="K28" s="168"/>
      <c r="L28" s="120"/>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row>
    <row r="29" spans="1:37" ht="59.5" x14ac:dyDescent="0.5">
      <c r="A29" s="45" t="s">
        <v>256</v>
      </c>
      <c r="B29" s="157" t="s">
        <v>139</v>
      </c>
      <c r="C29" s="165"/>
      <c r="H29" s="1"/>
      <c r="I29" s="161" t="s">
        <v>132</v>
      </c>
      <c r="K29" s="169" t="s">
        <v>33</v>
      </c>
      <c r="L29" s="54" t="s">
        <v>140</v>
      </c>
      <c r="M29" s="236"/>
      <c r="N29" s="236"/>
      <c r="O29" s="236"/>
      <c r="P29" s="236"/>
      <c r="Q29" s="236"/>
      <c r="R29" s="236"/>
      <c r="S29" s="236"/>
      <c r="T29" s="236"/>
      <c r="U29" s="236"/>
      <c r="V29" s="236"/>
      <c r="W29" s="236"/>
      <c r="X29" s="236"/>
      <c r="Y29" s="236"/>
      <c r="Z29" s="236"/>
      <c r="AA29" s="236"/>
      <c r="AB29" s="236"/>
      <c r="AC29" s="236"/>
      <c r="AD29" s="236"/>
      <c r="AE29" s="236"/>
      <c r="AF29" s="236"/>
      <c r="AG29" s="236"/>
      <c r="AH29" s="236"/>
      <c r="AI29" s="236"/>
      <c r="AJ29" s="236"/>
      <c r="AK29" s="236"/>
    </row>
    <row r="30" spans="1:37" s="2" customFormat="1" ht="21" x14ac:dyDescent="0.5">
      <c r="A30" s="107" t="s">
        <v>257</v>
      </c>
      <c r="B30" s="156" t="s">
        <v>240</v>
      </c>
      <c r="C30" s="164"/>
      <c r="D30" s="106"/>
      <c r="E30" s="106"/>
      <c r="F30" s="106"/>
      <c r="G30" s="106"/>
      <c r="H30" s="109"/>
      <c r="I30" s="160"/>
      <c r="J30" s="106"/>
      <c r="K30" s="168"/>
      <c r="L30" s="120"/>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row>
    <row r="31" spans="1:37" ht="48" x14ac:dyDescent="0.5">
      <c r="A31" s="45" t="s">
        <v>258</v>
      </c>
      <c r="B31" s="157" t="s">
        <v>114</v>
      </c>
      <c r="C31" s="165"/>
      <c r="H31" s="1"/>
      <c r="I31" s="161" t="s">
        <v>75</v>
      </c>
      <c r="K31" s="169" t="s">
        <v>15</v>
      </c>
      <c r="L31" s="54" t="s">
        <v>115</v>
      </c>
      <c r="M31" s="236"/>
      <c r="N31" s="236"/>
      <c r="O31" s="236"/>
      <c r="P31" s="236"/>
      <c r="Q31" s="236"/>
      <c r="R31" s="236"/>
      <c r="S31" s="236"/>
      <c r="T31" s="236"/>
      <c r="U31" s="236"/>
      <c r="V31" s="236"/>
      <c r="W31" s="236"/>
      <c r="X31" s="236"/>
      <c r="Y31" s="236"/>
      <c r="Z31" s="236"/>
      <c r="AA31" s="236"/>
      <c r="AB31" s="236"/>
      <c r="AC31" s="236"/>
      <c r="AD31" s="236"/>
      <c r="AE31" s="236"/>
      <c r="AF31" s="236"/>
      <c r="AG31" s="236"/>
      <c r="AH31" s="236"/>
      <c r="AI31" s="236"/>
      <c r="AJ31" s="236"/>
      <c r="AK31" s="236"/>
    </row>
    <row r="32" spans="1:37" s="2" customFormat="1" ht="21" x14ac:dyDescent="0.5">
      <c r="A32" s="107" t="s">
        <v>259</v>
      </c>
      <c r="B32" s="156" t="s">
        <v>240</v>
      </c>
      <c r="C32" s="164"/>
      <c r="D32" s="106"/>
      <c r="E32" s="106"/>
      <c r="F32" s="106"/>
      <c r="G32" s="106"/>
      <c r="H32" s="109"/>
      <c r="I32" s="160"/>
      <c r="J32" s="106"/>
      <c r="K32" s="168"/>
      <c r="L32" s="120"/>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row>
    <row r="33" spans="1:37" s="2" customFormat="1" ht="21" x14ac:dyDescent="0.5">
      <c r="A33" s="112" t="s">
        <v>309</v>
      </c>
      <c r="B33" s="156" t="s">
        <v>240</v>
      </c>
      <c r="C33" s="164"/>
      <c r="D33" s="106"/>
      <c r="E33" s="106"/>
      <c r="F33" s="106"/>
      <c r="G33" s="106"/>
      <c r="H33" s="109"/>
      <c r="I33" s="160"/>
      <c r="J33" s="106"/>
      <c r="K33" s="168"/>
      <c r="L33" s="120"/>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row>
    <row r="34" spans="1:37" s="2" customFormat="1" ht="21" x14ac:dyDescent="0.5">
      <c r="A34" s="112" t="s">
        <v>310</v>
      </c>
      <c r="B34" s="156" t="s">
        <v>240</v>
      </c>
      <c r="C34" s="164"/>
      <c r="D34" s="106"/>
      <c r="E34" s="106"/>
      <c r="F34" s="106"/>
      <c r="G34" s="106"/>
      <c r="H34" s="109"/>
      <c r="I34" s="160"/>
      <c r="J34" s="106"/>
      <c r="K34" s="168"/>
      <c r="L34" s="120"/>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row>
    <row r="35" spans="1:37" s="2" customFormat="1" ht="21" x14ac:dyDescent="0.5">
      <c r="A35" s="112" t="s">
        <v>311</v>
      </c>
      <c r="B35" s="156" t="s">
        <v>240</v>
      </c>
      <c r="C35" s="164"/>
      <c r="D35" s="106"/>
      <c r="E35" s="106"/>
      <c r="F35" s="106"/>
      <c r="G35" s="106"/>
      <c r="H35" s="109"/>
      <c r="I35" s="160"/>
      <c r="J35" s="106"/>
      <c r="K35" s="168"/>
      <c r="L35" s="120"/>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row>
    <row r="36" spans="1:37" s="2" customFormat="1" ht="21" x14ac:dyDescent="0.5">
      <c r="A36" s="112" t="s">
        <v>312</v>
      </c>
      <c r="B36" s="156" t="s">
        <v>240</v>
      </c>
      <c r="C36" s="164"/>
      <c r="D36" s="106"/>
      <c r="E36" s="106"/>
      <c r="F36" s="106"/>
      <c r="G36" s="106"/>
      <c r="H36" s="109"/>
      <c r="I36" s="160"/>
      <c r="J36" s="106"/>
      <c r="K36" s="168"/>
      <c r="L36" s="120"/>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row>
    <row r="37" spans="1:37" ht="48.5" thickBot="1" x14ac:dyDescent="0.55000000000000004">
      <c r="A37" s="47" t="s">
        <v>313</v>
      </c>
      <c r="B37" s="158" t="s">
        <v>18</v>
      </c>
      <c r="C37" s="166"/>
      <c r="D37" s="10"/>
      <c r="E37" s="10"/>
      <c r="F37" s="10"/>
      <c r="G37" s="10"/>
      <c r="H37" s="66"/>
      <c r="I37" s="162" t="s">
        <v>19</v>
      </c>
      <c r="J37" s="10"/>
      <c r="K37" s="170" t="s">
        <v>15</v>
      </c>
      <c r="L37" s="56" t="s">
        <v>15</v>
      </c>
      <c r="M37" s="236"/>
      <c r="N37" s="236"/>
      <c r="O37" s="236"/>
      <c r="P37" s="236"/>
      <c r="Q37" s="236"/>
      <c r="R37" s="236"/>
      <c r="S37" s="236"/>
      <c r="T37" s="236"/>
      <c r="U37" s="236"/>
      <c r="V37" s="236"/>
      <c r="W37" s="236"/>
      <c r="X37" s="236"/>
      <c r="Y37" s="236"/>
      <c r="Z37" s="236"/>
      <c r="AA37" s="236"/>
      <c r="AB37" s="236"/>
      <c r="AC37" s="236"/>
      <c r="AD37" s="236"/>
      <c r="AE37" s="236"/>
      <c r="AF37" s="236"/>
      <c r="AG37" s="236"/>
      <c r="AH37" s="236"/>
      <c r="AI37" s="236"/>
      <c r="AJ37" s="236"/>
      <c r="AK37" s="236"/>
    </row>
    <row r="38" spans="1:37" x14ac:dyDescent="0.35">
      <c r="A38" s="257"/>
      <c r="B38" s="257"/>
      <c r="C38" s="257"/>
      <c r="D38" s="257"/>
      <c r="E38" s="257"/>
      <c r="F38" s="257"/>
      <c r="G38" s="257"/>
      <c r="H38" s="257"/>
      <c r="I38" s="257"/>
      <c r="J38" s="257"/>
      <c r="K38" s="236"/>
      <c r="L38" s="236"/>
      <c r="M38" s="236"/>
      <c r="N38" s="236"/>
      <c r="O38" s="236"/>
      <c r="P38" s="236"/>
      <c r="Q38" s="236"/>
      <c r="R38" s="236"/>
      <c r="S38" s="236"/>
      <c r="T38" s="236"/>
      <c r="U38" s="236"/>
      <c r="V38" s="236"/>
      <c r="W38" s="236"/>
      <c r="X38" s="236"/>
      <c r="Y38" s="236"/>
      <c r="Z38" s="236"/>
      <c r="AA38" s="236"/>
      <c r="AB38" s="236"/>
      <c r="AC38" s="236"/>
      <c r="AD38" s="236"/>
      <c r="AE38" s="236"/>
      <c r="AF38" s="236"/>
      <c r="AG38" s="236"/>
      <c r="AH38" s="236"/>
      <c r="AI38" s="236"/>
    </row>
    <row r="39" spans="1:37" ht="15" thickBot="1" x14ac:dyDescent="0.4">
      <c r="A39" s="257"/>
      <c r="B39" s="257"/>
      <c r="C39" s="257"/>
      <c r="D39" s="257"/>
      <c r="E39" s="257"/>
      <c r="F39" s="257"/>
      <c r="G39" s="257"/>
      <c r="H39" s="257"/>
      <c r="I39" s="257"/>
      <c r="J39" s="257"/>
      <c r="K39" s="236"/>
      <c r="L39" s="236"/>
      <c r="M39" s="236"/>
      <c r="N39" s="236"/>
      <c r="O39" s="236"/>
      <c r="P39" s="236"/>
      <c r="Q39" s="236"/>
      <c r="R39" s="236"/>
      <c r="S39" s="236"/>
      <c r="T39" s="236"/>
      <c r="U39" s="236"/>
      <c r="V39" s="236"/>
      <c r="W39" s="236"/>
      <c r="X39" s="236"/>
      <c r="Y39" s="236"/>
      <c r="Z39" s="236"/>
      <c r="AA39" s="236"/>
      <c r="AB39" s="236"/>
      <c r="AC39" s="236"/>
      <c r="AD39" s="236"/>
      <c r="AE39" s="236"/>
      <c r="AF39" s="236"/>
      <c r="AG39" s="236"/>
      <c r="AH39" s="236"/>
      <c r="AI39" s="236"/>
    </row>
    <row r="40" spans="1:37" s="5" customFormat="1" ht="34" thickBot="1" x14ac:dyDescent="0.8">
      <c r="A40" s="258" t="s">
        <v>314</v>
      </c>
      <c r="B40" s="250"/>
      <c r="C40" s="250"/>
      <c r="D40" s="250"/>
      <c r="E40" s="250"/>
      <c r="F40" s="250"/>
      <c r="G40" s="250"/>
      <c r="H40" s="250"/>
      <c r="I40" s="251"/>
      <c r="J40" s="257"/>
      <c r="K40" s="239"/>
      <c r="L40" s="239"/>
      <c r="M40" s="239"/>
      <c r="N40" s="239"/>
      <c r="O40" s="239"/>
      <c r="P40" s="239"/>
      <c r="Q40" s="239"/>
      <c r="R40" s="239"/>
      <c r="S40" s="239"/>
      <c r="T40" s="239"/>
      <c r="U40" s="239"/>
      <c r="V40" s="239"/>
      <c r="W40" s="239"/>
      <c r="X40" s="239"/>
      <c r="Y40" s="239"/>
      <c r="Z40" s="239"/>
      <c r="AA40" s="239"/>
      <c r="AB40" s="239"/>
      <c r="AC40" s="239"/>
      <c r="AD40" s="239"/>
      <c r="AE40" s="239"/>
      <c r="AF40" s="239"/>
      <c r="AG40" s="239"/>
      <c r="AH40" s="239"/>
      <c r="AI40" s="239"/>
    </row>
    <row r="41" spans="1:37" ht="15" thickBot="1" x14ac:dyDescent="0.4">
      <c r="A41" t="s">
        <v>223</v>
      </c>
      <c r="B41" t="s">
        <v>224</v>
      </c>
      <c r="C41" t="s">
        <v>225</v>
      </c>
      <c r="D41" t="s">
        <v>226</v>
      </c>
      <c r="E41" t="s">
        <v>227</v>
      </c>
      <c r="F41" s="257"/>
      <c r="G41" s="257"/>
      <c r="H41" s="257"/>
      <c r="I41" s="257"/>
      <c r="J41" s="257"/>
      <c r="K41" s="236"/>
      <c r="L41" s="236"/>
      <c r="M41" s="236"/>
      <c r="N41" s="236"/>
      <c r="O41" s="236"/>
      <c r="P41" s="236"/>
      <c r="Q41" s="236"/>
      <c r="R41" s="236"/>
      <c r="S41" s="236"/>
      <c r="T41" s="236"/>
      <c r="U41" s="236"/>
      <c r="V41" s="236"/>
      <c r="W41" s="236"/>
      <c r="X41" s="236"/>
      <c r="Y41" s="236"/>
      <c r="Z41" s="236"/>
      <c r="AA41" s="236"/>
      <c r="AB41" s="236"/>
      <c r="AC41" s="236"/>
      <c r="AD41" s="236"/>
      <c r="AE41" s="236"/>
      <c r="AF41" s="236"/>
      <c r="AG41" s="236"/>
      <c r="AH41" s="236"/>
      <c r="AI41" s="236"/>
    </row>
    <row r="42" spans="1:37" ht="93" x14ac:dyDescent="0.35">
      <c r="A42" s="6" t="s">
        <v>315</v>
      </c>
      <c r="B42" s="7" t="s">
        <v>15</v>
      </c>
      <c r="C42" s="7"/>
      <c r="D42" s="7"/>
      <c r="E42" s="8"/>
      <c r="F42" s="257"/>
      <c r="G42" s="257"/>
      <c r="H42" s="257"/>
      <c r="I42" s="257"/>
      <c r="J42" s="257"/>
      <c r="K42" s="236"/>
      <c r="L42" s="236"/>
      <c r="M42" s="236"/>
      <c r="N42" s="236"/>
      <c r="O42" s="236"/>
      <c r="P42" s="236"/>
      <c r="Q42" s="236"/>
      <c r="R42" s="236"/>
      <c r="S42" s="236"/>
      <c r="T42" s="236"/>
      <c r="U42" s="236"/>
      <c r="V42" s="236"/>
      <c r="W42" s="236"/>
      <c r="X42" s="236"/>
      <c r="Y42" s="236"/>
      <c r="Z42" s="236"/>
      <c r="AA42" s="236"/>
      <c r="AB42" s="236"/>
      <c r="AC42" s="236"/>
      <c r="AD42" s="236"/>
      <c r="AE42" s="236"/>
      <c r="AF42" s="236"/>
      <c r="AG42" s="236"/>
      <c r="AH42" s="236"/>
      <c r="AI42" s="236"/>
    </row>
    <row r="43" spans="1:37" ht="66.650000000000006" customHeight="1" thickBot="1" x14ac:dyDescent="0.4">
      <c r="A43" s="9"/>
      <c r="B43" s="10"/>
      <c r="C43" s="10"/>
      <c r="D43" s="10"/>
      <c r="E43" s="11"/>
      <c r="F43" s="257"/>
      <c r="G43" s="257"/>
      <c r="H43" s="257"/>
      <c r="I43" s="257"/>
      <c r="J43" s="257"/>
      <c r="K43" s="236"/>
      <c r="L43" s="236"/>
      <c r="M43" s="236"/>
      <c r="N43" s="236"/>
      <c r="O43" s="236"/>
      <c r="P43" s="236"/>
      <c r="Q43" s="236"/>
      <c r="R43" s="236"/>
      <c r="S43" s="236"/>
      <c r="T43" s="236"/>
      <c r="U43" s="236"/>
      <c r="V43" s="236"/>
      <c r="W43" s="236"/>
      <c r="X43" s="236"/>
      <c r="Y43" s="236"/>
      <c r="Z43" s="236"/>
      <c r="AA43" s="236"/>
      <c r="AB43" s="236"/>
      <c r="AC43" s="236"/>
      <c r="AD43" s="236"/>
      <c r="AE43" s="236"/>
      <c r="AF43" s="236"/>
      <c r="AG43" s="236"/>
      <c r="AH43" s="236"/>
      <c r="AI43" s="236"/>
    </row>
    <row r="44" spans="1:37" ht="12.65" customHeight="1" x14ac:dyDescent="0.35">
      <c r="A44" s="257"/>
      <c r="B44" s="257"/>
      <c r="C44" s="257"/>
      <c r="D44" s="257"/>
      <c r="E44" s="257"/>
      <c r="F44" s="257"/>
      <c r="G44" s="257"/>
      <c r="H44" s="257"/>
      <c r="I44" s="257"/>
      <c r="J44" s="257"/>
      <c r="K44" s="236"/>
      <c r="L44" s="236"/>
      <c r="M44" s="236"/>
      <c r="N44" s="236"/>
      <c r="O44" s="236"/>
      <c r="P44" s="236"/>
      <c r="Q44" s="236"/>
      <c r="R44" s="236"/>
      <c r="S44" s="236"/>
      <c r="T44" s="236"/>
      <c r="U44" s="236"/>
      <c r="V44" s="236"/>
      <c r="W44" s="236"/>
      <c r="X44" s="236"/>
      <c r="Y44" s="236"/>
      <c r="Z44" s="236"/>
      <c r="AA44" s="236"/>
      <c r="AB44" s="236"/>
      <c r="AC44" s="236"/>
      <c r="AD44" s="236"/>
      <c r="AE44" s="236"/>
      <c r="AF44" s="236"/>
      <c r="AG44" s="236"/>
      <c r="AH44" s="236"/>
      <c r="AI44" s="236"/>
    </row>
    <row r="45" spans="1:37" ht="15" thickBot="1" x14ac:dyDescent="0.4">
      <c r="A45" t="s">
        <v>3</v>
      </c>
      <c r="B45" t="s">
        <v>4</v>
      </c>
      <c r="C45" t="s">
        <v>230</v>
      </c>
      <c r="D45" t="s">
        <v>231</v>
      </c>
      <c r="E45" t="s">
        <v>232</v>
      </c>
      <c r="F45" t="s">
        <v>233</v>
      </c>
      <c r="G45" t="s">
        <v>234</v>
      </c>
      <c r="H45" t="s">
        <v>235</v>
      </c>
      <c r="I45" t="s">
        <v>236</v>
      </c>
      <c r="J45" t="s">
        <v>253</v>
      </c>
      <c r="K45" t="s">
        <v>238</v>
      </c>
      <c r="L45" t="s">
        <v>6</v>
      </c>
      <c r="M45" s="236"/>
      <c r="N45" s="236"/>
      <c r="O45" s="236"/>
      <c r="P45" s="236"/>
      <c r="Q45" s="236"/>
      <c r="R45" s="236"/>
      <c r="S45" s="236"/>
      <c r="T45" s="236"/>
      <c r="U45" s="236"/>
      <c r="V45" s="236"/>
      <c r="W45" s="236"/>
      <c r="X45" s="236"/>
      <c r="Y45" s="236"/>
      <c r="Z45" s="236"/>
      <c r="AA45" s="236"/>
      <c r="AB45" s="236"/>
      <c r="AC45" s="236"/>
      <c r="AD45" s="236"/>
      <c r="AE45" s="236"/>
      <c r="AF45" s="236"/>
      <c r="AG45" s="236"/>
      <c r="AH45" s="236"/>
      <c r="AI45" s="236"/>
      <c r="AJ45" s="236"/>
      <c r="AK45" s="236"/>
    </row>
    <row r="46" spans="1:37" s="2" customFormat="1" ht="21" x14ac:dyDescent="0.5">
      <c r="A46" s="114" t="s">
        <v>316</v>
      </c>
      <c r="B46" s="115" t="s">
        <v>240</v>
      </c>
      <c r="C46" s="116"/>
      <c r="D46" s="116"/>
      <c r="E46" s="116"/>
      <c r="F46" s="116"/>
      <c r="G46" s="116"/>
      <c r="H46" s="116"/>
      <c r="I46" s="116"/>
      <c r="J46" s="116"/>
      <c r="K46" s="118"/>
      <c r="L46" s="117"/>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row>
    <row r="47" spans="1:37" ht="45" x14ac:dyDescent="0.5">
      <c r="A47" s="45" t="s">
        <v>317</v>
      </c>
      <c r="B47" s="13" t="s">
        <v>143</v>
      </c>
      <c r="I47" s="1" t="s">
        <v>132</v>
      </c>
      <c r="K47" s="4" t="s">
        <v>15</v>
      </c>
      <c r="L47" s="14"/>
      <c r="M47" s="236"/>
      <c r="N47" s="236"/>
      <c r="O47" s="236"/>
      <c r="P47" s="236"/>
      <c r="Q47" s="236"/>
      <c r="R47" s="236"/>
      <c r="S47" s="236"/>
      <c r="T47" s="236"/>
      <c r="U47" s="236"/>
      <c r="V47" s="236"/>
      <c r="W47" s="236"/>
      <c r="X47" s="236"/>
      <c r="Y47" s="236"/>
      <c r="Z47" s="236"/>
      <c r="AA47" s="236"/>
      <c r="AB47" s="236"/>
      <c r="AC47" s="236"/>
      <c r="AD47" s="236"/>
      <c r="AE47" s="236"/>
      <c r="AF47" s="236"/>
      <c r="AG47" s="236"/>
      <c r="AH47" s="236"/>
      <c r="AI47" s="236"/>
      <c r="AJ47" s="236"/>
      <c r="AK47" s="236"/>
    </row>
    <row r="48" spans="1:37" ht="45" x14ac:dyDescent="0.5">
      <c r="A48" s="45" t="s">
        <v>318</v>
      </c>
      <c r="B48" s="13" t="s">
        <v>146</v>
      </c>
      <c r="I48" s="1" t="s">
        <v>132</v>
      </c>
      <c r="K48" s="4" t="s">
        <v>15</v>
      </c>
      <c r="L48" s="14"/>
      <c r="M48" s="236"/>
      <c r="N48" s="236"/>
      <c r="O48" s="236"/>
      <c r="P48" s="236"/>
      <c r="Q48" s="236"/>
      <c r="R48" s="236"/>
      <c r="S48" s="236"/>
      <c r="T48" s="236"/>
      <c r="U48" s="236"/>
      <c r="V48" s="236"/>
      <c r="W48" s="236"/>
      <c r="X48" s="236"/>
      <c r="Y48" s="236"/>
      <c r="Z48" s="236"/>
      <c r="AA48" s="236"/>
      <c r="AB48" s="236"/>
      <c r="AC48" s="236"/>
      <c r="AD48" s="236"/>
      <c r="AE48" s="236"/>
      <c r="AF48" s="236"/>
      <c r="AG48" s="236"/>
      <c r="AH48" s="236"/>
      <c r="AI48" s="236"/>
      <c r="AJ48" s="236"/>
      <c r="AK48" s="236"/>
    </row>
    <row r="49" spans="1:37" ht="48" x14ac:dyDescent="0.5">
      <c r="A49" s="45" t="s">
        <v>319</v>
      </c>
      <c r="B49" s="13" t="s">
        <v>148</v>
      </c>
      <c r="I49" s="1" t="s">
        <v>132</v>
      </c>
      <c r="K49" s="4" t="s">
        <v>15</v>
      </c>
      <c r="L49" s="14"/>
      <c r="M49" s="236"/>
      <c r="N49" s="236"/>
      <c r="O49" s="236"/>
      <c r="P49" s="236"/>
      <c r="Q49" s="236"/>
      <c r="R49" s="236"/>
      <c r="S49" s="236"/>
      <c r="T49" s="236"/>
      <c r="U49" s="236"/>
      <c r="V49" s="236"/>
      <c r="W49" s="236"/>
      <c r="X49" s="236"/>
      <c r="Y49" s="236"/>
      <c r="Z49" s="236"/>
      <c r="AA49" s="236"/>
      <c r="AB49" s="236"/>
      <c r="AC49" s="236"/>
      <c r="AD49" s="236"/>
      <c r="AE49" s="236"/>
      <c r="AF49" s="236"/>
      <c r="AG49" s="236"/>
      <c r="AH49" s="236"/>
      <c r="AI49" s="236"/>
      <c r="AJ49" s="236"/>
      <c r="AK49" s="236"/>
    </row>
    <row r="50" spans="1:37" ht="48" x14ac:dyDescent="0.5">
      <c r="A50" s="45" t="s">
        <v>320</v>
      </c>
      <c r="B50" s="13" t="s">
        <v>149</v>
      </c>
      <c r="I50" s="1" t="s">
        <v>132</v>
      </c>
      <c r="K50" s="4" t="s">
        <v>15</v>
      </c>
      <c r="L50" s="14"/>
      <c r="M50" s="236"/>
      <c r="N50" s="236"/>
      <c r="O50" s="236"/>
      <c r="P50" s="236"/>
      <c r="Q50" s="236"/>
      <c r="R50" s="236"/>
      <c r="S50" s="236"/>
      <c r="T50" s="236"/>
      <c r="U50" s="236"/>
      <c r="V50" s="236"/>
      <c r="W50" s="236"/>
      <c r="X50" s="236"/>
      <c r="Y50" s="236"/>
      <c r="Z50" s="236"/>
      <c r="AA50" s="236"/>
      <c r="AB50" s="236"/>
      <c r="AC50" s="236"/>
      <c r="AD50" s="236"/>
      <c r="AE50" s="236"/>
      <c r="AF50" s="236"/>
      <c r="AG50" s="236"/>
      <c r="AH50" s="236"/>
      <c r="AI50" s="236"/>
      <c r="AJ50" s="236"/>
      <c r="AK50" s="236"/>
    </row>
    <row r="51" spans="1:37" ht="45" x14ac:dyDescent="0.5">
      <c r="A51" s="45" t="s">
        <v>321</v>
      </c>
      <c r="B51" s="13" t="s">
        <v>150</v>
      </c>
      <c r="I51" s="1" t="s">
        <v>132</v>
      </c>
      <c r="K51" s="4" t="s">
        <v>15</v>
      </c>
      <c r="L51" s="14"/>
      <c r="M51" s="236"/>
      <c r="N51" s="236"/>
      <c r="O51" s="236"/>
      <c r="P51" s="236"/>
      <c r="Q51" s="236"/>
      <c r="R51" s="236"/>
      <c r="S51" s="236"/>
      <c r="T51" s="236"/>
      <c r="U51" s="236"/>
      <c r="V51" s="236"/>
      <c r="W51" s="236"/>
      <c r="X51" s="236"/>
      <c r="Y51" s="236"/>
      <c r="Z51" s="236"/>
      <c r="AA51" s="236"/>
      <c r="AB51" s="236"/>
      <c r="AC51" s="236"/>
      <c r="AD51" s="236"/>
      <c r="AE51" s="236"/>
      <c r="AF51" s="236"/>
      <c r="AG51" s="236"/>
      <c r="AH51" s="236"/>
      <c r="AI51" s="236"/>
      <c r="AJ51" s="236"/>
      <c r="AK51" s="236"/>
    </row>
    <row r="52" spans="1:37" ht="45.5" thickBot="1" x14ac:dyDescent="0.55000000000000004">
      <c r="A52" s="47" t="s">
        <v>322</v>
      </c>
      <c r="B52" s="15" t="s">
        <v>151</v>
      </c>
      <c r="C52" s="10"/>
      <c r="D52" s="10"/>
      <c r="E52" s="10"/>
      <c r="F52" s="10"/>
      <c r="G52" s="10"/>
      <c r="H52" s="10"/>
      <c r="I52" s="66" t="s">
        <v>132</v>
      </c>
      <c r="J52" s="10"/>
      <c r="K52" s="60" t="s">
        <v>15</v>
      </c>
      <c r="L52" s="11"/>
      <c r="M52" s="236"/>
      <c r="N52" s="236"/>
      <c r="O52" s="236"/>
      <c r="P52" s="236"/>
      <c r="Q52" s="236"/>
      <c r="R52" s="236"/>
      <c r="S52" s="236"/>
      <c r="T52" s="236"/>
      <c r="U52" s="236"/>
      <c r="V52" s="236"/>
      <c r="W52" s="236"/>
      <c r="X52" s="236"/>
      <c r="Y52" s="236"/>
      <c r="Z52" s="236"/>
      <c r="AA52" s="236"/>
      <c r="AB52" s="236"/>
      <c r="AC52" s="236"/>
      <c r="AD52" s="236"/>
      <c r="AE52" s="236"/>
      <c r="AF52" s="236"/>
      <c r="AG52" s="236"/>
      <c r="AH52" s="236"/>
      <c r="AI52" s="236"/>
      <c r="AJ52" s="236"/>
      <c r="AK52" s="236"/>
    </row>
    <row r="53" spans="1:37" x14ac:dyDescent="0.35">
      <c r="A53" s="257"/>
      <c r="B53" s="257"/>
      <c r="C53" s="257"/>
      <c r="D53" s="257"/>
      <c r="E53" s="257"/>
      <c r="F53" s="257"/>
      <c r="G53" s="257"/>
      <c r="H53" s="257"/>
      <c r="I53" s="257"/>
      <c r="J53" s="257"/>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c r="AI53" s="236"/>
    </row>
    <row r="54" spans="1:37" ht="15" thickBot="1" x14ac:dyDescent="0.4">
      <c r="A54" s="257"/>
      <c r="B54" s="257"/>
      <c r="C54" s="257"/>
      <c r="D54" s="257"/>
      <c r="E54" s="257"/>
      <c r="F54" s="257"/>
      <c r="G54" s="257"/>
      <c r="H54" s="257"/>
      <c r="I54" s="257"/>
      <c r="J54" s="257"/>
      <c r="K54" s="236"/>
      <c r="L54" s="236"/>
      <c r="M54" s="236"/>
      <c r="N54" s="236"/>
      <c r="O54" s="236"/>
      <c r="P54" s="236"/>
      <c r="Q54" s="236"/>
      <c r="R54" s="236"/>
      <c r="S54" s="236"/>
      <c r="T54" s="236"/>
      <c r="U54" s="236"/>
      <c r="V54" s="236"/>
      <c r="W54" s="236"/>
      <c r="X54" s="236"/>
      <c r="Y54" s="236"/>
      <c r="Z54" s="236"/>
      <c r="AA54" s="236"/>
      <c r="AB54" s="236"/>
      <c r="AC54" s="236"/>
      <c r="AD54" s="236"/>
      <c r="AE54" s="236"/>
      <c r="AF54" s="236"/>
      <c r="AG54" s="236"/>
      <c r="AH54" s="236"/>
      <c r="AI54" s="236"/>
    </row>
    <row r="55" spans="1:37" s="5" customFormat="1" ht="34" thickBot="1" x14ac:dyDescent="0.8">
      <c r="A55" s="249" t="s">
        <v>323</v>
      </c>
      <c r="B55" s="250"/>
      <c r="C55" s="250"/>
      <c r="D55" s="250"/>
      <c r="E55" s="251"/>
      <c r="F55" s="264"/>
      <c r="G55" s="264"/>
      <c r="H55" s="264"/>
      <c r="I55" s="264"/>
      <c r="J55" s="264"/>
      <c r="K55" s="239"/>
      <c r="L55" s="239"/>
      <c r="M55" s="239"/>
      <c r="N55" s="239"/>
      <c r="O55" s="239"/>
      <c r="P55" s="239"/>
      <c r="Q55" s="239"/>
      <c r="R55" s="239"/>
      <c r="S55" s="239"/>
      <c r="T55" s="239"/>
      <c r="U55" s="239"/>
      <c r="V55" s="239"/>
      <c r="W55" s="239"/>
      <c r="X55" s="239"/>
      <c r="Y55" s="239"/>
      <c r="Z55" s="239"/>
      <c r="AA55" s="239"/>
      <c r="AB55" s="239"/>
      <c r="AC55" s="239"/>
      <c r="AD55" s="239"/>
      <c r="AE55" s="239"/>
      <c r="AF55" s="239"/>
      <c r="AG55" s="239"/>
      <c r="AH55" s="239"/>
      <c r="AI55" s="239"/>
    </row>
    <row r="56" spans="1:37" ht="15" thickBot="1" x14ac:dyDescent="0.4">
      <c r="A56" t="s">
        <v>223</v>
      </c>
      <c r="B56" t="s">
        <v>224</v>
      </c>
      <c r="C56" t="s">
        <v>225</v>
      </c>
      <c r="D56" t="s">
        <v>226</v>
      </c>
      <c r="E56" t="s">
        <v>227</v>
      </c>
      <c r="F56" s="264"/>
      <c r="G56" s="264"/>
      <c r="H56" s="264"/>
      <c r="I56" s="264"/>
      <c r="J56" s="264"/>
      <c r="K56" s="236"/>
      <c r="L56" s="236"/>
      <c r="M56" s="236"/>
      <c r="N56" s="236"/>
      <c r="O56" s="236"/>
      <c r="P56" s="236"/>
      <c r="Q56" s="236"/>
      <c r="R56" s="236"/>
      <c r="S56" s="236"/>
      <c r="T56" s="236"/>
      <c r="U56" s="236"/>
      <c r="V56" s="236"/>
      <c r="W56" s="236"/>
      <c r="X56" s="236"/>
      <c r="Y56" s="236"/>
      <c r="Z56" s="236"/>
      <c r="AA56" s="236"/>
      <c r="AB56" s="236"/>
      <c r="AC56" s="236"/>
      <c r="AD56" s="236"/>
      <c r="AE56" s="236"/>
      <c r="AF56" s="236"/>
      <c r="AG56" s="236"/>
      <c r="AH56" s="236"/>
      <c r="AI56" s="236"/>
    </row>
    <row r="57" spans="1:37" ht="77.5" x14ac:dyDescent="0.35">
      <c r="A57" s="6" t="s">
        <v>324</v>
      </c>
      <c r="B57" s="7" t="s">
        <v>38</v>
      </c>
      <c r="C57" s="7"/>
      <c r="D57" s="7"/>
      <c r="E57" s="8"/>
      <c r="F57" s="264"/>
      <c r="G57" s="264"/>
      <c r="H57" s="264"/>
      <c r="I57" s="264"/>
      <c r="J57" s="264"/>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c r="AI57" s="236"/>
    </row>
    <row r="58" spans="1:37" ht="60.65" customHeight="1" thickBot="1" x14ac:dyDescent="0.4">
      <c r="A58" s="9"/>
      <c r="B58" s="10"/>
      <c r="C58" s="10"/>
      <c r="D58" s="10"/>
      <c r="E58" s="11"/>
      <c r="F58" s="264"/>
      <c r="G58" s="264"/>
      <c r="H58" s="264"/>
      <c r="I58" s="264"/>
      <c r="J58" s="264"/>
      <c r="K58" s="236"/>
      <c r="L58" s="236"/>
      <c r="M58" s="236"/>
      <c r="N58" s="236"/>
      <c r="O58" s="236"/>
      <c r="P58" s="236"/>
      <c r="Q58" s="236"/>
      <c r="R58" s="236"/>
      <c r="S58" s="236"/>
      <c r="T58" s="236"/>
      <c r="U58" s="236"/>
      <c r="V58" s="236"/>
      <c r="W58" s="236"/>
      <c r="X58" s="236"/>
      <c r="Y58" s="236"/>
      <c r="Z58" s="236"/>
      <c r="AA58" s="236"/>
      <c r="AB58" s="236"/>
      <c r="AC58" s="236"/>
      <c r="AD58" s="236"/>
      <c r="AE58" s="236"/>
      <c r="AF58" s="236"/>
      <c r="AG58" s="236"/>
      <c r="AH58" s="236"/>
      <c r="AI58" s="236"/>
    </row>
    <row r="59" spans="1:37" x14ac:dyDescent="0.35">
      <c r="A59" s="257"/>
      <c r="B59" s="257"/>
      <c r="C59" s="257"/>
      <c r="D59" s="257"/>
      <c r="E59" s="257"/>
      <c r="F59" s="257"/>
      <c r="G59" s="257"/>
      <c r="H59" s="257"/>
      <c r="I59" s="257"/>
      <c r="J59" s="257"/>
      <c r="K59" s="236"/>
      <c r="L59" s="236"/>
      <c r="M59" s="236"/>
      <c r="N59" s="236"/>
      <c r="O59" s="236"/>
      <c r="P59" s="236"/>
      <c r="Q59" s="236"/>
      <c r="R59" s="236"/>
      <c r="S59" s="236"/>
      <c r="T59" s="236"/>
      <c r="U59" s="236"/>
      <c r="V59" s="236"/>
      <c r="W59" s="236"/>
      <c r="X59" s="236"/>
      <c r="Y59" s="236"/>
      <c r="Z59" s="236"/>
      <c r="AA59" s="236"/>
      <c r="AB59" s="236"/>
      <c r="AC59" s="236"/>
      <c r="AD59" s="236"/>
      <c r="AE59" s="236"/>
      <c r="AF59" s="236"/>
      <c r="AG59" s="236"/>
      <c r="AH59" s="236"/>
      <c r="AI59" s="236"/>
    </row>
    <row r="60" spans="1:37" ht="15" thickBot="1" x14ac:dyDescent="0.4">
      <c r="A60" t="s">
        <v>3</v>
      </c>
      <c r="B60" t="s">
        <v>4</v>
      </c>
      <c r="C60" t="s">
        <v>230</v>
      </c>
      <c r="D60" t="s">
        <v>231</v>
      </c>
      <c r="E60" t="s">
        <v>232</v>
      </c>
      <c r="F60" t="s">
        <v>233</v>
      </c>
      <c r="G60" t="s">
        <v>234</v>
      </c>
      <c r="H60" t="s">
        <v>235</v>
      </c>
      <c r="I60" t="s">
        <v>236</v>
      </c>
      <c r="J60" t="s">
        <v>253</v>
      </c>
      <c r="K60" t="s">
        <v>238</v>
      </c>
      <c r="L60" t="s">
        <v>6</v>
      </c>
      <c r="M60" s="236"/>
      <c r="N60" s="236"/>
      <c r="O60" s="236"/>
      <c r="P60" s="236"/>
      <c r="Q60" s="236"/>
      <c r="R60" s="236"/>
      <c r="S60" s="236"/>
      <c r="T60" s="236"/>
      <c r="U60" s="236"/>
      <c r="V60" s="236"/>
      <c r="W60" s="236"/>
      <c r="X60" s="236"/>
      <c r="Y60" s="236"/>
      <c r="Z60" s="236"/>
      <c r="AA60" s="236"/>
      <c r="AB60" s="236"/>
      <c r="AC60" s="236"/>
      <c r="AD60" s="236"/>
      <c r="AE60" s="236"/>
      <c r="AF60" s="236"/>
      <c r="AG60" s="236"/>
      <c r="AH60" s="236"/>
      <c r="AI60" s="236"/>
      <c r="AJ60" s="236"/>
      <c r="AK60" s="236"/>
    </row>
    <row r="61" spans="1:37" s="210" customFormat="1" ht="21" x14ac:dyDescent="0.5">
      <c r="A61" s="213" t="s">
        <v>325</v>
      </c>
      <c r="B61" s="214" t="s">
        <v>240</v>
      </c>
      <c r="C61" s="215"/>
      <c r="D61" s="216"/>
      <c r="E61" s="216"/>
      <c r="F61" s="216"/>
      <c r="G61" s="216"/>
      <c r="H61" s="216"/>
      <c r="I61" s="211"/>
      <c r="J61" s="216"/>
      <c r="K61" s="215"/>
      <c r="L61" s="217"/>
    </row>
    <row r="62" spans="1:37" ht="74" x14ac:dyDescent="0.5">
      <c r="A62" s="45" t="s">
        <v>326</v>
      </c>
      <c r="B62" s="95" t="s">
        <v>117</v>
      </c>
      <c r="C62" s="4" t="s">
        <v>15</v>
      </c>
      <c r="I62" s="1" t="s">
        <v>75</v>
      </c>
      <c r="K62" s="4" t="s">
        <v>38</v>
      </c>
      <c r="L62" s="61" t="s">
        <v>118</v>
      </c>
      <c r="M62" s="236"/>
      <c r="N62" s="236"/>
      <c r="O62" s="236"/>
      <c r="P62" s="236"/>
      <c r="Q62" s="236"/>
      <c r="R62" s="236"/>
      <c r="S62" s="236"/>
      <c r="T62" s="236"/>
      <c r="U62" s="236"/>
      <c r="V62" s="236"/>
      <c r="W62" s="236"/>
      <c r="X62" s="236"/>
      <c r="Y62" s="236"/>
      <c r="Z62" s="236"/>
      <c r="AA62" s="236"/>
      <c r="AB62" s="236"/>
      <c r="AC62" s="236"/>
      <c r="AD62" s="236"/>
      <c r="AE62" s="236"/>
      <c r="AF62" s="236"/>
      <c r="AG62" s="236"/>
      <c r="AH62" s="236"/>
      <c r="AI62" s="236"/>
      <c r="AJ62" s="236"/>
      <c r="AK62" s="236"/>
    </row>
    <row r="63" spans="1:37" s="210" customFormat="1" ht="21" x14ac:dyDescent="0.5">
      <c r="A63" s="207" t="s">
        <v>327</v>
      </c>
      <c r="B63" s="208" t="s">
        <v>240</v>
      </c>
      <c r="C63" s="209"/>
      <c r="I63" s="211"/>
      <c r="K63" s="209"/>
      <c r="L63" s="212"/>
    </row>
    <row r="64" spans="1:37" ht="46.5" customHeight="1" x14ac:dyDescent="0.5">
      <c r="A64" s="45" t="s">
        <v>328</v>
      </c>
      <c r="B64" s="95" t="s">
        <v>152</v>
      </c>
      <c r="C64" s="4"/>
      <c r="I64" s="1" t="s">
        <v>132</v>
      </c>
      <c r="K64" s="4" t="s">
        <v>38</v>
      </c>
      <c r="L64" s="61" t="s">
        <v>153</v>
      </c>
      <c r="M64" s="236"/>
      <c r="N64" s="236"/>
      <c r="O64" s="236"/>
      <c r="P64" s="236"/>
      <c r="Q64" s="236"/>
      <c r="R64" s="236"/>
      <c r="S64" s="236"/>
      <c r="T64" s="236"/>
      <c r="U64" s="236"/>
      <c r="V64" s="236"/>
      <c r="W64" s="236"/>
      <c r="X64" s="236"/>
      <c r="Y64" s="236"/>
      <c r="Z64" s="236"/>
      <c r="AA64" s="236"/>
      <c r="AB64" s="236"/>
      <c r="AC64" s="236"/>
      <c r="AD64" s="236"/>
      <c r="AE64" s="236"/>
      <c r="AF64" s="236"/>
      <c r="AG64" s="236"/>
      <c r="AH64" s="236"/>
      <c r="AI64" s="236"/>
      <c r="AJ64" s="236"/>
      <c r="AK64" s="236"/>
    </row>
    <row r="65" spans="1:37" ht="59.5" x14ac:dyDescent="0.5">
      <c r="A65" s="45" t="s">
        <v>329</v>
      </c>
      <c r="B65" s="95" t="s">
        <v>155</v>
      </c>
      <c r="C65" s="4"/>
      <c r="I65" s="1" t="s">
        <v>132</v>
      </c>
      <c r="K65" s="4" t="s">
        <v>33</v>
      </c>
      <c r="L65" s="61" t="s">
        <v>156</v>
      </c>
      <c r="M65" s="236"/>
      <c r="N65" s="236"/>
      <c r="O65" s="236"/>
      <c r="P65" s="236"/>
      <c r="Q65" s="236"/>
      <c r="R65" s="236"/>
      <c r="S65" s="236"/>
      <c r="T65" s="236"/>
      <c r="U65" s="236"/>
      <c r="V65" s="236"/>
      <c r="W65" s="236"/>
      <c r="X65" s="236"/>
      <c r="Y65" s="236"/>
      <c r="Z65" s="236"/>
      <c r="AA65" s="236"/>
      <c r="AB65" s="236"/>
      <c r="AC65" s="236"/>
      <c r="AD65" s="236"/>
      <c r="AE65" s="236"/>
      <c r="AF65" s="236"/>
      <c r="AG65" s="236"/>
      <c r="AH65" s="236"/>
      <c r="AI65" s="236"/>
      <c r="AJ65" s="236"/>
      <c r="AK65" s="236"/>
    </row>
    <row r="66" spans="1:37" s="2" customFormat="1" ht="21" x14ac:dyDescent="0.5">
      <c r="A66" s="107" t="s">
        <v>330</v>
      </c>
      <c r="B66" s="108" t="s">
        <v>240</v>
      </c>
      <c r="C66" s="110"/>
      <c r="D66" s="106"/>
      <c r="E66" s="106"/>
      <c r="F66" s="106"/>
      <c r="G66" s="106"/>
      <c r="H66" s="106"/>
      <c r="I66" s="109"/>
      <c r="J66" s="106"/>
      <c r="K66" s="110"/>
      <c r="L66" s="11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row>
    <row r="67" spans="1:37" ht="62" x14ac:dyDescent="0.5">
      <c r="A67" s="48" t="s">
        <v>331</v>
      </c>
      <c r="B67" s="95" t="s">
        <v>119</v>
      </c>
      <c r="C67" s="4" t="s">
        <v>42</v>
      </c>
      <c r="H67" s="1" t="s">
        <v>332</v>
      </c>
      <c r="I67" s="1" t="s">
        <v>75</v>
      </c>
      <c r="K67" s="4" t="s">
        <v>42</v>
      </c>
      <c r="L67" s="61" t="s">
        <v>120</v>
      </c>
      <c r="M67" s="236"/>
      <c r="N67" s="236"/>
      <c r="O67" s="236"/>
      <c r="P67" s="236"/>
      <c r="Q67" s="236"/>
      <c r="R67" s="236"/>
      <c r="S67" s="236"/>
      <c r="T67" s="236"/>
      <c r="U67" s="236"/>
      <c r="V67" s="236"/>
      <c r="W67" s="236"/>
      <c r="X67" s="236"/>
      <c r="Y67" s="236"/>
      <c r="Z67" s="236"/>
      <c r="AA67" s="236"/>
      <c r="AB67" s="236"/>
      <c r="AC67" s="236"/>
      <c r="AD67" s="236"/>
      <c r="AE67" s="236"/>
      <c r="AF67" s="236"/>
      <c r="AG67" s="236"/>
      <c r="AH67" s="236"/>
      <c r="AI67" s="236"/>
      <c r="AJ67" s="236"/>
      <c r="AK67" s="236"/>
    </row>
    <row r="68" spans="1:37" ht="31" x14ac:dyDescent="0.5">
      <c r="A68" s="48" t="s">
        <v>333</v>
      </c>
      <c r="B68" s="95" t="s">
        <v>122</v>
      </c>
      <c r="C68" s="4"/>
      <c r="I68" s="1" t="s">
        <v>75</v>
      </c>
      <c r="K68" s="4" t="s">
        <v>38</v>
      </c>
      <c r="L68" s="1" t="s">
        <v>123</v>
      </c>
      <c r="M68" s="236"/>
      <c r="N68" s="236"/>
      <c r="O68" s="236"/>
      <c r="P68" s="236"/>
      <c r="Q68" s="236"/>
      <c r="R68" s="236"/>
      <c r="S68" s="236"/>
      <c r="T68" s="236"/>
      <c r="U68" s="236"/>
      <c r="V68" s="236"/>
      <c r="W68" s="236"/>
      <c r="X68" s="236"/>
      <c r="Y68" s="236"/>
      <c r="Z68" s="236"/>
      <c r="AA68" s="236"/>
      <c r="AB68" s="236"/>
      <c r="AC68" s="236"/>
      <c r="AD68" s="236"/>
      <c r="AE68" s="236"/>
      <c r="AF68" s="236"/>
      <c r="AG68" s="236"/>
      <c r="AH68" s="236"/>
      <c r="AI68" s="236"/>
      <c r="AJ68" s="236"/>
      <c r="AK68" s="236"/>
    </row>
    <row r="69" spans="1:37" ht="77.5" x14ac:dyDescent="0.5">
      <c r="A69" s="48" t="s">
        <v>334</v>
      </c>
      <c r="B69" s="95" t="s">
        <v>20</v>
      </c>
      <c r="C69" s="4" t="s">
        <v>15</v>
      </c>
      <c r="I69" s="1" t="s">
        <v>19</v>
      </c>
      <c r="K69" s="4" t="s">
        <v>15</v>
      </c>
      <c r="L69" s="61"/>
      <c r="M69" s="236"/>
      <c r="N69" s="236"/>
      <c r="O69" s="236"/>
      <c r="P69" s="236"/>
      <c r="Q69" s="236"/>
      <c r="R69" s="236"/>
      <c r="S69" s="236"/>
      <c r="T69" s="236"/>
      <c r="U69" s="236"/>
      <c r="V69" s="236"/>
      <c r="W69" s="236"/>
      <c r="X69" s="236"/>
      <c r="Y69" s="236"/>
      <c r="Z69" s="236"/>
      <c r="AA69" s="236"/>
      <c r="AB69" s="236"/>
      <c r="AC69" s="236"/>
      <c r="AD69" s="236"/>
      <c r="AE69" s="236"/>
      <c r="AF69" s="236"/>
      <c r="AG69" s="236"/>
      <c r="AH69" s="236"/>
      <c r="AI69" s="236"/>
      <c r="AJ69" s="236"/>
      <c r="AK69" s="236"/>
    </row>
    <row r="70" spans="1:37" ht="19.5" customHeight="1" thickBot="1" x14ac:dyDescent="0.4">
      <c r="A70" s="257"/>
      <c r="B70" s="257"/>
      <c r="C70" s="257"/>
      <c r="D70" s="257"/>
      <c r="E70" s="257"/>
      <c r="F70" s="257"/>
      <c r="G70" s="257"/>
      <c r="H70" s="257"/>
      <c r="I70" s="257"/>
      <c r="J70" s="257"/>
      <c r="K70" s="236"/>
      <c r="L70" s="236"/>
      <c r="M70" s="236"/>
      <c r="N70" s="236"/>
      <c r="O70" s="236"/>
      <c r="P70" s="236"/>
      <c r="Q70" s="236"/>
      <c r="R70" s="236"/>
      <c r="S70" s="236"/>
      <c r="T70" s="236"/>
      <c r="U70" s="236"/>
      <c r="V70" s="236"/>
      <c r="W70" s="236"/>
      <c r="X70" s="236"/>
      <c r="Y70" s="236"/>
      <c r="Z70" s="236"/>
      <c r="AA70" s="236"/>
      <c r="AB70" s="236"/>
      <c r="AC70" s="236"/>
      <c r="AD70" s="236"/>
      <c r="AE70" s="236"/>
      <c r="AF70" s="236"/>
      <c r="AG70" s="236"/>
      <c r="AH70" s="236"/>
      <c r="AI70" s="236"/>
    </row>
    <row r="71" spans="1:37" s="5" customFormat="1" ht="34" thickBot="1" x14ac:dyDescent="0.8">
      <c r="A71" s="249" t="s">
        <v>335</v>
      </c>
      <c r="B71" s="250"/>
      <c r="C71" s="250"/>
      <c r="D71" s="250"/>
      <c r="E71" s="251"/>
      <c r="F71" s="264"/>
      <c r="G71" s="264"/>
      <c r="H71" s="264"/>
      <c r="I71" s="264"/>
      <c r="J71" s="264"/>
      <c r="K71" s="239"/>
      <c r="L71" s="239"/>
      <c r="M71" s="239"/>
      <c r="N71" s="239"/>
      <c r="O71" s="239"/>
      <c r="P71" s="239"/>
      <c r="Q71" s="239"/>
      <c r="R71" s="239"/>
      <c r="S71" s="239"/>
      <c r="T71" s="239"/>
      <c r="U71" s="239"/>
      <c r="V71" s="239"/>
      <c r="W71" s="239"/>
      <c r="X71" s="239"/>
      <c r="Y71" s="239"/>
      <c r="Z71" s="239"/>
      <c r="AA71" s="239"/>
      <c r="AB71" s="239"/>
      <c r="AC71" s="239"/>
      <c r="AD71" s="239"/>
      <c r="AE71" s="239"/>
      <c r="AF71" s="239"/>
      <c r="AG71" s="239"/>
      <c r="AH71" s="239"/>
      <c r="AI71" s="239"/>
    </row>
    <row r="72" spans="1:37" ht="15" thickBot="1" x14ac:dyDescent="0.4">
      <c r="A72" t="s">
        <v>223</v>
      </c>
      <c r="B72" t="s">
        <v>224</v>
      </c>
      <c r="C72" t="s">
        <v>225</v>
      </c>
      <c r="D72" t="s">
        <v>226</v>
      </c>
      <c r="E72" t="s">
        <v>227</v>
      </c>
      <c r="F72" s="264"/>
      <c r="G72" s="264"/>
      <c r="H72" s="264"/>
      <c r="I72" s="264"/>
      <c r="J72" s="264"/>
      <c r="K72" s="236"/>
      <c r="L72" s="236"/>
      <c r="M72" s="236"/>
      <c r="N72" s="236"/>
      <c r="O72" s="236"/>
      <c r="P72" s="236"/>
      <c r="Q72" s="236"/>
      <c r="R72" s="236"/>
      <c r="S72" s="236"/>
      <c r="T72" s="236"/>
      <c r="U72" s="236"/>
      <c r="V72" s="236"/>
      <c r="W72" s="236"/>
      <c r="X72" s="236"/>
      <c r="Y72" s="236"/>
      <c r="Z72" s="236"/>
      <c r="AA72" s="236"/>
      <c r="AB72" s="236"/>
      <c r="AC72" s="236"/>
      <c r="AD72" s="236"/>
      <c r="AE72" s="236"/>
      <c r="AF72" s="236"/>
      <c r="AG72" s="236"/>
      <c r="AH72" s="236"/>
      <c r="AI72" s="236"/>
    </row>
    <row r="73" spans="1:37" ht="77.5" x14ac:dyDescent="0.35">
      <c r="A73" s="6" t="s">
        <v>336</v>
      </c>
      <c r="B73" s="7" t="s">
        <v>33</v>
      </c>
      <c r="C73" s="7"/>
      <c r="D73" s="7"/>
      <c r="E73" s="8"/>
      <c r="F73" s="264"/>
      <c r="G73" s="264"/>
      <c r="H73" s="264"/>
      <c r="I73" s="264"/>
      <c r="J73" s="264"/>
      <c r="K73" s="236"/>
      <c r="L73" s="236"/>
      <c r="M73" s="236"/>
      <c r="N73" s="236"/>
      <c r="O73" s="236"/>
      <c r="P73" s="236"/>
      <c r="Q73" s="236"/>
      <c r="R73" s="236"/>
      <c r="S73" s="236"/>
      <c r="T73" s="236"/>
      <c r="U73" s="236"/>
      <c r="V73" s="236"/>
      <c r="W73" s="236"/>
      <c r="X73" s="236"/>
      <c r="Y73" s="236"/>
      <c r="Z73" s="236"/>
      <c r="AA73" s="236"/>
      <c r="AB73" s="236"/>
      <c r="AC73" s="236"/>
      <c r="AD73" s="236"/>
      <c r="AE73" s="236"/>
      <c r="AF73" s="236"/>
      <c r="AG73" s="236"/>
      <c r="AH73" s="236"/>
      <c r="AI73" s="236"/>
    </row>
    <row r="74" spans="1:37" ht="60" customHeight="1" thickBot="1" x14ac:dyDescent="0.4">
      <c r="A74" s="9"/>
      <c r="B74" s="10"/>
      <c r="C74" s="10"/>
      <c r="D74" s="10"/>
      <c r="E74" s="11"/>
      <c r="F74" s="264"/>
      <c r="G74" s="264"/>
      <c r="H74" s="264"/>
      <c r="I74" s="264"/>
      <c r="J74" s="264"/>
      <c r="K74" s="236"/>
      <c r="L74" s="236"/>
      <c r="M74" s="236"/>
      <c r="N74" s="236"/>
      <c r="O74" s="236"/>
      <c r="P74" s="236"/>
      <c r="Q74" s="236"/>
      <c r="R74" s="236"/>
      <c r="S74" s="236"/>
      <c r="T74" s="236"/>
      <c r="U74" s="236"/>
      <c r="V74" s="236"/>
      <c r="W74" s="236"/>
      <c r="X74" s="236"/>
      <c r="Y74" s="236"/>
      <c r="Z74" s="236"/>
      <c r="AA74" s="236"/>
      <c r="AB74" s="236"/>
      <c r="AC74" s="236"/>
      <c r="AD74" s="236"/>
      <c r="AE74" s="236"/>
      <c r="AF74" s="236"/>
      <c r="AG74" s="236"/>
      <c r="AH74" s="236"/>
      <c r="AI74" s="236"/>
    </row>
    <row r="75" spans="1:37" x14ac:dyDescent="0.35">
      <c r="A75" s="257"/>
      <c r="B75" s="257"/>
      <c r="C75" s="257"/>
      <c r="D75" s="257"/>
      <c r="E75" s="257"/>
      <c r="F75" s="264"/>
      <c r="G75" s="264"/>
      <c r="H75" s="264"/>
      <c r="I75" s="264"/>
      <c r="J75" s="264"/>
      <c r="K75" s="236"/>
      <c r="L75" s="236"/>
      <c r="M75" s="236"/>
      <c r="N75" s="236"/>
      <c r="O75" s="236"/>
      <c r="P75" s="236"/>
      <c r="Q75" s="236"/>
      <c r="R75" s="236"/>
      <c r="S75" s="236"/>
      <c r="T75" s="236"/>
      <c r="U75" s="236"/>
      <c r="V75" s="236"/>
      <c r="W75" s="236"/>
      <c r="X75" s="236"/>
      <c r="Y75" s="236"/>
      <c r="Z75" s="236"/>
      <c r="AA75" s="236"/>
      <c r="AB75" s="236"/>
      <c r="AC75" s="236"/>
      <c r="AD75" s="236"/>
      <c r="AE75" s="236"/>
      <c r="AF75" s="236"/>
      <c r="AG75" s="236"/>
      <c r="AH75" s="236"/>
      <c r="AI75" s="236"/>
    </row>
    <row r="76" spans="1:37" ht="15" thickBot="1" x14ac:dyDescent="0.4">
      <c r="A76" t="s">
        <v>3</v>
      </c>
      <c r="B76" t="s">
        <v>4</v>
      </c>
      <c r="C76" t="s">
        <v>230</v>
      </c>
      <c r="D76" t="s">
        <v>231</v>
      </c>
      <c r="E76" t="s">
        <v>232</v>
      </c>
      <c r="F76" t="s">
        <v>233</v>
      </c>
      <c r="G76" t="s">
        <v>234</v>
      </c>
      <c r="H76" t="s">
        <v>235</v>
      </c>
      <c r="I76" t="s">
        <v>236</v>
      </c>
      <c r="J76" t="s">
        <v>253</v>
      </c>
      <c r="K76" t="s">
        <v>238</v>
      </c>
      <c r="L76" t="s">
        <v>6</v>
      </c>
      <c r="M76" s="236"/>
      <c r="N76" s="236"/>
      <c r="O76" s="236"/>
      <c r="P76" s="236"/>
      <c r="Q76" s="236"/>
      <c r="R76" s="236"/>
      <c r="S76" s="236"/>
      <c r="T76" s="236"/>
      <c r="U76" s="236"/>
      <c r="V76" s="236"/>
      <c r="W76" s="236"/>
      <c r="X76" s="236"/>
      <c r="Y76" s="236"/>
      <c r="Z76" s="236"/>
      <c r="AA76" s="236"/>
      <c r="AB76" s="236"/>
      <c r="AC76" s="236"/>
      <c r="AD76" s="236"/>
      <c r="AE76" s="236"/>
      <c r="AF76" s="236"/>
      <c r="AG76" s="236"/>
      <c r="AH76" s="236"/>
      <c r="AI76" s="236"/>
      <c r="AJ76" s="236"/>
      <c r="AK76" s="236"/>
    </row>
    <row r="77" spans="1:37" ht="88.5" x14ac:dyDescent="0.5">
      <c r="A77" s="44" t="s">
        <v>337</v>
      </c>
      <c r="B77" s="94" t="s">
        <v>158</v>
      </c>
      <c r="C77" s="7"/>
      <c r="D77" s="7"/>
      <c r="E77" s="7"/>
      <c r="F77" s="7"/>
      <c r="G77" s="7"/>
      <c r="H77" s="7"/>
      <c r="I77" s="65" t="s">
        <v>132</v>
      </c>
      <c r="J77" s="7"/>
      <c r="K77" s="50" t="s">
        <v>38</v>
      </c>
      <c r="L77" s="57" t="s">
        <v>159</v>
      </c>
      <c r="M77" s="236"/>
      <c r="N77" s="236"/>
      <c r="O77" s="236"/>
      <c r="P77" s="236"/>
      <c r="Q77" s="236"/>
      <c r="R77" s="236"/>
      <c r="S77" s="236"/>
      <c r="T77" s="236"/>
      <c r="U77" s="236"/>
      <c r="V77" s="236"/>
      <c r="W77" s="236"/>
      <c r="X77" s="236"/>
      <c r="Y77" s="236"/>
      <c r="Z77" s="236"/>
      <c r="AA77" s="236"/>
      <c r="AB77" s="236"/>
      <c r="AC77" s="236"/>
      <c r="AD77" s="236"/>
      <c r="AE77" s="236"/>
      <c r="AF77" s="236"/>
      <c r="AG77" s="236"/>
      <c r="AH77" s="236"/>
      <c r="AI77" s="236"/>
      <c r="AJ77" s="236"/>
      <c r="AK77" s="236"/>
    </row>
    <row r="78" spans="1:37" s="2" customFormat="1" ht="21" x14ac:dyDescent="0.5">
      <c r="A78" s="107" t="s">
        <v>338</v>
      </c>
      <c r="B78" s="108" t="s">
        <v>240</v>
      </c>
      <c r="C78" s="106" t="s">
        <v>15</v>
      </c>
      <c r="D78" s="106"/>
      <c r="E78" s="106"/>
      <c r="F78" s="106"/>
      <c r="G78" s="106"/>
      <c r="H78" s="106"/>
      <c r="I78" s="109"/>
      <c r="J78" s="106"/>
      <c r="K78" s="110"/>
      <c r="L78" s="11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row>
    <row r="79" spans="1:37" ht="74" x14ac:dyDescent="0.5">
      <c r="A79" s="45" t="s">
        <v>339</v>
      </c>
      <c r="B79" s="95" t="s">
        <v>124</v>
      </c>
      <c r="I79" s="1" t="s">
        <v>75</v>
      </c>
      <c r="K79" s="51" t="s">
        <v>38</v>
      </c>
      <c r="L79" s="58" t="s">
        <v>125</v>
      </c>
      <c r="M79" s="236"/>
      <c r="N79" s="236"/>
      <c r="O79" s="236"/>
      <c r="P79" s="236"/>
      <c r="Q79" s="236"/>
      <c r="R79" s="236"/>
      <c r="S79" s="236"/>
      <c r="T79" s="236"/>
      <c r="U79" s="236"/>
      <c r="V79" s="236"/>
      <c r="W79" s="236"/>
      <c r="X79" s="236"/>
      <c r="Y79" s="236"/>
      <c r="Z79" s="236"/>
      <c r="AA79" s="236"/>
      <c r="AB79" s="236"/>
      <c r="AC79" s="236"/>
      <c r="AD79" s="236"/>
      <c r="AE79" s="236"/>
      <c r="AF79" s="236"/>
      <c r="AG79" s="236"/>
      <c r="AH79" s="236"/>
      <c r="AI79" s="236"/>
      <c r="AJ79" s="236"/>
      <c r="AK79" s="236"/>
    </row>
    <row r="80" spans="1:37" s="2" customFormat="1" ht="21" x14ac:dyDescent="0.5">
      <c r="A80" s="107" t="s">
        <v>340</v>
      </c>
      <c r="B80" s="108" t="s">
        <v>240</v>
      </c>
      <c r="C80" s="106"/>
      <c r="D80" s="106"/>
      <c r="E80" s="106"/>
      <c r="F80" s="106"/>
      <c r="G80" s="106"/>
      <c r="H80" s="106"/>
      <c r="I80" s="109"/>
      <c r="J80" s="106"/>
      <c r="K80" s="110"/>
      <c r="L80" s="11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row>
    <row r="81" spans="1:37" ht="67.5" customHeight="1" x14ac:dyDescent="0.5">
      <c r="A81" s="45" t="s">
        <v>341</v>
      </c>
      <c r="B81" s="95" t="s">
        <v>126</v>
      </c>
      <c r="I81" s="1" t="s">
        <v>75</v>
      </c>
      <c r="K81" s="51" t="s">
        <v>33</v>
      </c>
      <c r="L81" s="58" t="s">
        <v>127</v>
      </c>
      <c r="M81" s="236"/>
      <c r="N81" s="236"/>
      <c r="O81" s="236"/>
      <c r="P81" s="236"/>
      <c r="Q81" s="236"/>
      <c r="R81" s="236"/>
      <c r="S81" s="236"/>
      <c r="T81" s="236"/>
      <c r="U81" s="236"/>
      <c r="V81" s="236"/>
      <c r="W81" s="236"/>
      <c r="X81" s="236"/>
      <c r="Y81" s="236"/>
      <c r="Z81" s="236"/>
      <c r="AA81" s="236"/>
      <c r="AB81" s="236"/>
      <c r="AC81" s="236"/>
      <c r="AD81" s="236"/>
      <c r="AE81" s="236"/>
      <c r="AF81" s="236"/>
      <c r="AG81" s="236"/>
      <c r="AH81" s="236"/>
      <c r="AI81" s="236"/>
      <c r="AJ81" s="236"/>
      <c r="AK81" s="236"/>
    </row>
    <row r="82" spans="1:37" s="2" customFormat="1" ht="21" x14ac:dyDescent="0.5">
      <c r="A82" s="107" t="s">
        <v>342</v>
      </c>
      <c r="B82" s="108" t="s">
        <v>240</v>
      </c>
      <c r="C82" s="106"/>
      <c r="D82" s="106"/>
      <c r="E82" s="106"/>
      <c r="F82" s="106"/>
      <c r="G82" s="106"/>
      <c r="H82" s="106"/>
      <c r="I82" s="109"/>
      <c r="J82" s="106"/>
      <c r="K82" s="110"/>
      <c r="L82" s="11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row>
    <row r="83" spans="1:37" s="2" customFormat="1" ht="21" x14ac:dyDescent="0.5">
      <c r="A83" s="112" t="s">
        <v>343</v>
      </c>
      <c r="B83" s="108" t="s">
        <v>240</v>
      </c>
      <c r="C83" s="106"/>
      <c r="D83" s="106"/>
      <c r="E83" s="106"/>
      <c r="F83" s="106"/>
      <c r="G83" s="106"/>
      <c r="H83" s="106"/>
      <c r="I83" s="109"/>
      <c r="J83" s="106"/>
      <c r="K83" s="110"/>
      <c r="L83" s="11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row>
    <row r="84" spans="1:37" s="2" customFormat="1" ht="21" x14ac:dyDescent="0.5">
      <c r="A84" s="112" t="s">
        <v>344</v>
      </c>
      <c r="B84" s="108" t="s">
        <v>240</v>
      </c>
      <c r="C84" s="106"/>
      <c r="D84" s="106"/>
      <c r="E84" s="106"/>
      <c r="F84" s="106"/>
      <c r="G84" s="106"/>
      <c r="H84" s="106"/>
      <c r="I84" s="109"/>
      <c r="J84" s="106"/>
      <c r="K84" s="110"/>
      <c r="L84" s="11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row>
    <row r="85" spans="1:37" s="2" customFormat="1" ht="21" x14ac:dyDescent="0.5">
      <c r="A85" s="112" t="s">
        <v>345</v>
      </c>
      <c r="B85" s="108" t="s">
        <v>240</v>
      </c>
      <c r="C85" s="106"/>
      <c r="D85" s="106"/>
      <c r="E85" s="106"/>
      <c r="F85" s="106"/>
      <c r="G85" s="106"/>
      <c r="H85" s="106"/>
      <c r="I85" s="109"/>
      <c r="J85" s="106"/>
      <c r="K85" s="110"/>
      <c r="L85" s="11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row>
    <row r="86" spans="1:37" s="2" customFormat="1" ht="21" x14ac:dyDescent="0.5">
      <c r="A86" s="112" t="s">
        <v>346</v>
      </c>
      <c r="B86" s="113" t="s">
        <v>240</v>
      </c>
      <c r="C86" s="106"/>
      <c r="D86" s="106"/>
      <c r="E86" s="106"/>
      <c r="F86" s="106"/>
      <c r="G86" s="106"/>
      <c r="H86" s="106"/>
      <c r="I86" s="109"/>
      <c r="J86" s="106"/>
      <c r="K86" s="110"/>
      <c r="L86" s="11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row>
    <row r="87" spans="1:37" ht="47" thickBot="1" x14ac:dyDescent="0.55000000000000004">
      <c r="A87" s="47" t="s">
        <v>347</v>
      </c>
      <c r="B87" s="96" t="s">
        <v>168</v>
      </c>
      <c r="C87" s="10"/>
      <c r="D87" s="10"/>
      <c r="E87" s="10"/>
      <c r="F87" s="10"/>
      <c r="G87" s="10"/>
      <c r="H87" s="10"/>
      <c r="I87" s="66" t="s">
        <v>169</v>
      </c>
      <c r="J87" s="10"/>
      <c r="K87" s="52" t="s">
        <v>38</v>
      </c>
      <c r="L87" s="59" t="s">
        <v>170</v>
      </c>
      <c r="M87" s="236"/>
      <c r="N87" s="236"/>
      <c r="O87" s="236"/>
      <c r="P87" s="236"/>
      <c r="Q87" s="236"/>
      <c r="R87" s="236"/>
      <c r="S87" s="236"/>
      <c r="T87" s="236"/>
      <c r="U87" s="236"/>
      <c r="V87" s="236"/>
      <c r="W87" s="236"/>
      <c r="X87" s="236"/>
      <c r="Y87" s="236"/>
      <c r="Z87" s="236"/>
      <c r="AA87" s="236"/>
      <c r="AB87" s="236"/>
      <c r="AC87" s="236"/>
      <c r="AD87" s="236"/>
      <c r="AE87" s="236"/>
      <c r="AF87" s="236"/>
      <c r="AG87" s="236"/>
      <c r="AH87" s="236"/>
      <c r="AI87" s="236"/>
      <c r="AJ87" s="236"/>
      <c r="AK87" s="236"/>
    </row>
    <row r="88" spans="1:37" x14ac:dyDescent="0.35">
      <c r="A88" s="257"/>
      <c r="B88" s="257"/>
      <c r="C88" s="257"/>
      <c r="D88" s="257"/>
      <c r="E88" s="257"/>
      <c r="F88" s="257"/>
      <c r="G88" s="257"/>
      <c r="H88" s="257"/>
      <c r="I88" s="257"/>
      <c r="J88" s="257"/>
      <c r="K88" s="236"/>
      <c r="L88" s="236"/>
      <c r="M88" s="236"/>
      <c r="N88" s="236"/>
      <c r="O88" s="236"/>
      <c r="P88" s="236"/>
      <c r="Q88" s="236"/>
      <c r="R88" s="236"/>
      <c r="S88" s="236"/>
      <c r="T88" s="236"/>
      <c r="U88" s="236"/>
      <c r="V88" s="236"/>
      <c r="W88" s="236"/>
      <c r="X88" s="236"/>
      <c r="Y88" s="236"/>
      <c r="Z88" s="236"/>
      <c r="AA88" s="236"/>
      <c r="AB88" s="236"/>
      <c r="AC88" s="236"/>
      <c r="AD88" s="236"/>
      <c r="AE88" s="236"/>
      <c r="AF88" s="236"/>
      <c r="AG88" s="236"/>
      <c r="AH88" s="236"/>
      <c r="AI88" s="236"/>
    </row>
    <row r="89" spans="1:37" ht="15" thickBot="1" x14ac:dyDescent="0.4">
      <c r="A89" s="257"/>
      <c r="B89" s="257"/>
      <c r="C89" s="257"/>
      <c r="D89" s="257"/>
      <c r="E89" s="257"/>
      <c r="F89" s="257"/>
      <c r="G89" s="257"/>
      <c r="H89" s="257"/>
      <c r="I89" s="257"/>
      <c r="J89" s="257"/>
      <c r="K89" s="236"/>
      <c r="L89" s="236"/>
      <c r="M89" s="236"/>
      <c r="N89" s="236"/>
      <c r="O89" s="236"/>
      <c r="P89" s="236"/>
      <c r="Q89" s="236"/>
      <c r="R89" s="236"/>
      <c r="S89" s="236"/>
      <c r="T89" s="236"/>
      <c r="U89" s="236"/>
      <c r="V89" s="236"/>
      <c r="W89" s="236"/>
      <c r="X89" s="236"/>
      <c r="Y89" s="236"/>
      <c r="Z89" s="236"/>
      <c r="AA89" s="236"/>
      <c r="AB89" s="236"/>
      <c r="AC89" s="236"/>
      <c r="AD89" s="236"/>
      <c r="AE89" s="236"/>
      <c r="AF89" s="236"/>
      <c r="AG89" s="236"/>
      <c r="AH89" s="236"/>
      <c r="AI89" s="236"/>
    </row>
    <row r="90" spans="1:37" s="5" customFormat="1" ht="33.5" x14ac:dyDescent="0.75">
      <c r="A90" s="265" t="s">
        <v>348</v>
      </c>
      <c r="B90" s="266"/>
      <c r="C90" s="266"/>
      <c r="D90" s="266"/>
      <c r="E90" s="267"/>
      <c r="F90" s="264"/>
      <c r="G90" s="264"/>
      <c r="H90" s="264"/>
      <c r="I90" s="264"/>
      <c r="J90" s="264"/>
      <c r="K90" s="239"/>
      <c r="L90" s="239"/>
      <c r="M90" s="239"/>
      <c r="N90" s="239"/>
      <c r="O90" s="239"/>
      <c r="P90" s="239"/>
      <c r="Q90" s="239"/>
      <c r="R90" s="239"/>
      <c r="S90" s="239"/>
      <c r="T90" s="239"/>
      <c r="U90" s="239"/>
      <c r="V90" s="239"/>
      <c r="W90" s="239"/>
      <c r="X90" s="239"/>
      <c r="Y90" s="239"/>
      <c r="Z90" s="239"/>
      <c r="AA90" s="239"/>
      <c r="AB90" s="239"/>
      <c r="AC90" s="239"/>
      <c r="AD90" s="239"/>
      <c r="AE90" s="239"/>
      <c r="AF90" s="239"/>
      <c r="AG90" s="239"/>
      <c r="AH90" s="239"/>
      <c r="AI90" s="239"/>
    </row>
    <row r="91" spans="1:37" x14ac:dyDescent="0.35">
      <c r="A91" s="24" t="s">
        <v>223</v>
      </c>
      <c r="B91" t="s">
        <v>224</v>
      </c>
      <c r="C91" t="s">
        <v>225</v>
      </c>
      <c r="D91" t="s">
        <v>226</v>
      </c>
      <c r="E91" s="14" t="s">
        <v>227</v>
      </c>
      <c r="F91" s="264"/>
      <c r="G91" s="264"/>
      <c r="H91" s="264"/>
      <c r="I91" s="264"/>
      <c r="J91" s="264"/>
      <c r="K91" s="236"/>
      <c r="L91" s="236"/>
      <c r="M91" s="236"/>
      <c r="N91" s="236"/>
      <c r="O91" s="236"/>
      <c r="P91" s="236"/>
      <c r="Q91" s="236"/>
      <c r="R91" s="236"/>
      <c r="S91" s="236"/>
      <c r="T91" s="236"/>
      <c r="U91" s="236"/>
      <c r="V91" s="236"/>
      <c r="W91" s="236"/>
      <c r="X91" s="236"/>
      <c r="Y91" s="236"/>
      <c r="Z91" s="236"/>
      <c r="AA91" s="236"/>
      <c r="AB91" s="236"/>
      <c r="AC91" s="236"/>
      <c r="AD91" s="236"/>
      <c r="AE91" s="236"/>
      <c r="AF91" s="236"/>
      <c r="AG91" s="236"/>
      <c r="AH91" s="236"/>
      <c r="AI91" s="236"/>
    </row>
    <row r="92" spans="1:37" ht="93" x14ac:dyDescent="0.35">
      <c r="A92" s="25" t="s">
        <v>349</v>
      </c>
      <c r="B92" t="s">
        <v>33</v>
      </c>
      <c r="E92" s="14"/>
      <c r="F92" s="264"/>
      <c r="G92" s="264"/>
      <c r="H92" s="264"/>
      <c r="I92" s="264"/>
      <c r="J92" s="264"/>
      <c r="K92" s="236"/>
      <c r="L92" s="236"/>
      <c r="M92" s="236"/>
      <c r="N92" s="236"/>
      <c r="O92" s="236"/>
      <c r="P92" s="236"/>
      <c r="Q92" s="236"/>
      <c r="R92" s="236"/>
      <c r="S92" s="236"/>
      <c r="T92" s="236"/>
      <c r="U92" s="236"/>
      <c r="V92" s="236"/>
      <c r="W92" s="236"/>
      <c r="X92" s="236"/>
      <c r="Y92" s="236"/>
      <c r="Z92" s="236"/>
      <c r="AA92" s="236"/>
      <c r="AB92" s="236"/>
      <c r="AC92" s="236"/>
      <c r="AD92" s="236"/>
      <c r="AE92" s="236"/>
      <c r="AF92" s="236"/>
      <c r="AG92" s="236"/>
      <c r="AH92" s="236"/>
      <c r="AI92" s="236"/>
    </row>
    <row r="93" spans="1:37" ht="58" customHeight="1" thickBot="1" x14ac:dyDescent="0.4">
      <c r="A93" s="9"/>
      <c r="B93" s="10"/>
      <c r="C93" s="10"/>
      <c r="D93" s="10"/>
      <c r="E93" s="11"/>
      <c r="F93" s="264"/>
      <c r="G93" s="264"/>
      <c r="H93" s="264"/>
      <c r="I93" s="264"/>
      <c r="J93" s="264"/>
      <c r="K93" s="236"/>
      <c r="L93" s="236"/>
      <c r="M93" s="236"/>
      <c r="N93" s="236"/>
      <c r="O93" s="236"/>
      <c r="P93" s="236"/>
      <c r="Q93" s="236"/>
      <c r="R93" s="236"/>
      <c r="S93" s="236"/>
      <c r="T93" s="236"/>
      <c r="U93" s="236"/>
      <c r="V93" s="236"/>
      <c r="W93" s="236"/>
      <c r="X93" s="236"/>
      <c r="Y93" s="236"/>
      <c r="Z93" s="236"/>
      <c r="AA93" s="236"/>
      <c r="AB93" s="236"/>
      <c r="AC93" s="236"/>
      <c r="AD93" s="236"/>
      <c r="AE93" s="236"/>
      <c r="AF93" s="236"/>
      <c r="AG93" s="236"/>
      <c r="AH93" s="236"/>
      <c r="AI93" s="236"/>
    </row>
    <row r="94" spans="1:37" ht="20.5" customHeight="1" x14ac:dyDescent="0.35">
      <c r="A94" s="257"/>
      <c r="B94" s="257"/>
      <c r="C94" s="257"/>
      <c r="D94" s="257"/>
      <c r="E94" s="257"/>
      <c r="F94" s="257"/>
      <c r="G94" s="257"/>
      <c r="H94" s="257"/>
      <c r="I94" s="257"/>
      <c r="J94" s="257"/>
      <c r="K94" s="236"/>
      <c r="L94" s="236"/>
      <c r="M94" s="236"/>
      <c r="N94" s="236"/>
      <c r="O94" s="236"/>
      <c r="P94" s="236"/>
      <c r="Q94" s="236"/>
      <c r="R94" s="236"/>
      <c r="S94" s="236"/>
      <c r="T94" s="236"/>
      <c r="U94" s="236"/>
      <c r="V94" s="236"/>
      <c r="W94" s="236"/>
      <c r="X94" s="236"/>
      <c r="Y94" s="236"/>
      <c r="Z94" s="236"/>
      <c r="AA94" s="236"/>
      <c r="AB94" s="236"/>
      <c r="AC94" s="236"/>
      <c r="AD94" s="236"/>
      <c r="AE94" s="236"/>
      <c r="AF94" s="236"/>
      <c r="AG94" s="236"/>
      <c r="AH94" s="236"/>
      <c r="AI94" s="236"/>
    </row>
    <row r="95" spans="1:37" ht="15" thickBot="1" x14ac:dyDescent="0.4">
      <c r="A95" t="s">
        <v>3</v>
      </c>
      <c r="B95" t="s">
        <v>4</v>
      </c>
      <c r="C95" t="s">
        <v>230</v>
      </c>
      <c r="D95" t="s">
        <v>231</v>
      </c>
      <c r="E95" t="s">
        <v>232</v>
      </c>
      <c r="F95" t="s">
        <v>233</v>
      </c>
      <c r="G95" t="s">
        <v>234</v>
      </c>
      <c r="H95" t="s">
        <v>235</v>
      </c>
      <c r="I95" t="s">
        <v>236</v>
      </c>
      <c r="J95" t="s">
        <v>253</v>
      </c>
      <c r="K95" t="s">
        <v>238</v>
      </c>
      <c r="L95" t="s">
        <v>6</v>
      </c>
      <c r="M95" s="236"/>
      <c r="N95" s="236"/>
      <c r="O95" s="236"/>
      <c r="P95" s="236"/>
      <c r="Q95" s="236"/>
      <c r="R95" s="236"/>
      <c r="S95" s="236"/>
      <c r="T95" s="236"/>
      <c r="U95" s="236"/>
      <c r="V95" s="236"/>
      <c r="W95" s="236"/>
      <c r="X95" s="236"/>
      <c r="Y95" s="236"/>
      <c r="Z95" s="236"/>
      <c r="AA95" s="236"/>
      <c r="AB95" s="236"/>
      <c r="AC95" s="236"/>
      <c r="AD95" s="236"/>
      <c r="AE95" s="236"/>
      <c r="AF95" s="236"/>
      <c r="AG95" s="236"/>
      <c r="AH95" s="236"/>
      <c r="AI95" s="236"/>
      <c r="AJ95" s="236"/>
      <c r="AK95" s="236"/>
    </row>
    <row r="96" spans="1:37" ht="76" customHeight="1" thickBot="1" x14ac:dyDescent="0.55000000000000004">
      <c r="A96" s="44" t="s">
        <v>279</v>
      </c>
      <c r="B96" s="94" t="s">
        <v>36</v>
      </c>
      <c r="C96" s="7"/>
      <c r="D96" s="7"/>
      <c r="E96" s="7"/>
      <c r="F96" s="7"/>
      <c r="G96" s="7"/>
      <c r="H96" s="7"/>
      <c r="I96" s="65" t="s">
        <v>31</v>
      </c>
      <c r="J96" s="7"/>
      <c r="K96" s="64" t="s">
        <v>38</v>
      </c>
      <c r="L96" s="63" t="s">
        <v>37</v>
      </c>
      <c r="M96" s="236"/>
      <c r="N96" s="236"/>
      <c r="O96" s="236"/>
      <c r="P96" s="236"/>
      <c r="Q96" s="236"/>
      <c r="R96" s="236"/>
      <c r="S96" s="236"/>
      <c r="T96" s="236"/>
      <c r="U96" s="236"/>
      <c r="V96" s="236"/>
      <c r="W96" s="236"/>
      <c r="X96" s="236"/>
      <c r="Y96" s="236"/>
      <c r="Z96" s="236"/>
      <c r="AA96" s="236"/>
      <c r="AB96" s="236"/>
      <c r="AC96" s="236"/>
      <c r="AD96" s="236"/>
      <c r="AE96" s="236"/>
      <c r="AF96" s="236"/>
      <c r="AG96" s="236"/>
      <c r="AH96" s="236"/>
      <c r="AI96" s="236"/>
      <c r="AJ96" s="236"/>
      <c r="AK96" s="236"/>
    </row>
    <row r="97" spans="1:37" s="2" customFormat="1" ht="21" x14ac:dyDescent="0.5">
      <c r="A97" s="107" t="s">
        <v>280</v>
      </c>
      <c r="B97" s="108" t="s">
        <v>240</v>
      </c>
      <c r="C97" s="106" t="s">
        <v>15</v>
      </c>
      <c r="D97" s="106"/>
      <c r="E97" s="106"/>
      <c r="F97" s="106"/>
      <c r="G97" s="106"/>
      <c r="H97" s="106"/>
      <c r="I97" s="109"/>
      <c r="J97" s="106"/>
      <c r="K97" s="110"/>
      <c r="L97" s="11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row>
    <row r="98" spans="1:37" ht="74" x14ac:dyDescent="0.5">
      <c r="A98" s="45" t="s">
        <v>281</v>
      </c>
      <c r="B98" s="95" t="s">
        <v>129</v>
      </c>
      <c r="I98" s="1" t="s">
        <v>75</v>
      </c>
      <c r="K98" s="4" t="s">
        <v>33</v>
      </c>
      <c r="L98" s="61" t="s">
        <v>130</v>
      </c>
      <c r="M98" s="236"/>
      <c r="N98" s="236"/>
      <c r="O98" s="236"/>
      <c r="P98" s="236"/>
      <c r="Q98" s="236"/>
      <c r="R98" s="236"/>
      <c r="S98" s="236"/>
      <c r="T98" s="236"/>
      <c r="U98" s="236"/>
      <c r="V98" s="236"/>
      <c r="W98" s="236"/>
      <c r="X98" s="236"/>
      <c r="Y98" s="236"/>
      <c r="Z98" s="236"/>
      <c r="AA98" s="236"/>
      <c r="AB98" s="236"/>
      <c r="AC98" s="236"/>
      <c r="AD98" s="236"/>
      <c r="AE98" s="236"/>
      <c r="AF98" s="236"/>
      <c r="AG98" s="236"/>
      <c r="AH98" s="236"/>
      <c r="AI98" s="236"/>
      <c r="AJ98" s="236"/>
      <c r="AK98" s="236"/>
    </row>
    <row r="99" spans="1:37" s="2" customFormat="1" ht="21" x14ac:dyDescent="0.5">
      <c r="A99" s="107" t="s">
        <v>282</v>
      </c>
      <c r="B99" s="108" t="s">
        <v>240</v>
      </c>
      <c r="C99" s="106"/>
      <c r="D99" s="106"/>
      <c r="E99" s="106"/>
      <c r="F99" s="106"/>
      <c r="G99" s="106"/>
      <c r="H99" s="106"/>
      <c r="I99" s="109"/>
      <c r="J99" s="106"/>
      <c r="K99" s="110"/>
      <c r="L99" s="11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row>
    <row r="100" spans="1:37" s="2" customFormat="1" ht="21" x14ac:dyDescent="0.5">
      <c r="A100" s="107" t="s">
        <v>283</v>
      </c>
      <c r="B100" s="108" t="s">
        <v>240</v>
      </c>
      <c r="C100" s="106"/>
      <c r="D100" s="106"/>
      <c r="E100" s="106"/>
      <c r="F100" s="106"/>
      <c r="G100" s="106"/>
      <c r="H100" s="106"/>
      <c r="I100" s="109"/>
      <c r="J100" s="106"/>
      <c r="K100" s="110"/>
      <c r="L100" s="11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row>
    <row r="101" spans="1:37" s="2" customFormat="1" ht="21" x14ac:dyDescent="0.5">
      <c r="A101" s="107" t="s">
        <v>284</v>
      </c>
      <c r="B101" s="108" t="s">
        <v>240</v>
      </c>
      <c r="C101" s="106"/>
      <c r="D101" s="106"/>
      <c r="E101" s="106"/>
      <c r="F101" s="106"/>
      <c r="G101" s="106"/>
      <c r="H101" s="106"/>
      <c r="I101" s="109"/>
      <c r="J101" s="106"/>
      <c r="K101" s="110"/>
      <c r="L101" s="11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row>
    <row r="102" spans="1:37" s="2" customFormat="1" ht="21" x14ac:dyDescent="0.5">
      <c r="A102" s="112" t="s">
        <v>285</v>
      </c>
      <c r="B102" s="108" t="s">
        <v>240</v>
      </c>
      <c r="C102" s="106"/>
      <c r="D102" s="106"/>
      <c r="E102" s="106"/>
      <c r="F102" s="106"/>
      <c r="G102" s="106"/>
      <c r="H102" s="106"/>
      <c r="I102" s="109"/>
      <c r="J102" s="106"/>
      <c r="K102" s="110"/>
      <c r="L102" s="11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row>
    <row r="103" spans="1:37" s="2" customFormat="1" ht="21" x14ac:dyDescent="0.5">
      <c r="A103" s="112" t="s">
        <v>286</v>
      </c>
      <c r="B103" s="108" t="s">
        <v>240</v>
      </c>
      <c r="C103" s="106"/>
      <c r="D103" s="106"/>
      <c r="E103" s="106"/>
      <c r="F103" s="106"/>
      <c r="G103" s="106"/>
      <c r="H103" s="106"/>
      <c r="I103" s="109"/>
      <c r="J103" s="106"/>
      <c r="K103" s="110"/>
      <c r="L103" s="11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row>
    <row r="104" spans="1:37" s="2" customFormat="1" ht="21" x14ac:dyDescent="0.5">
      <c r="A104" s="112" t="s">
        <v>290</v>
      </c>
      <c r="B104" s="108" t="s">
        <v>240</v>
      </c>
      <c r="C104" s="106"/>
      <c r="D104" s="106"/>
      <c r="E104" s="106"/>
      <c r="F104" s="106"/>
      <c r="G104" s="106"/>
      <c r="H104" s="106"/>
      <c r="I104" s="109"/>
      <c r="J104" s="106"/>
      <c r="K104" s="110"/>
      <c r="L104" s="11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row>
    <row r="105" spans="1:37" s="2" customFormat="1" ht="21" x14ac:dyDescent="0.5">
      <c r="A105" s="112" t="s">
        <v>293</v>
      </c>
      <c r="B105" s="113" t="s">
        <v>240</v>
      </c>
      <c r="C105" s="106"/>
      <c r="D105" s="106"/>
      <c r="E105" s="106"/>
      <c r="F105" s="106"/>
      <c r="G105" s="106"/>
      <c r="H105" s="106"/>
      <c r="I105" s="109"/>
      <c r="J105" s="106"/>
      <c r="K105" s="110"/>
      <c r="L105" s="11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row>
    <row r="106" spans="1:37" ht="59.15" customHeight="1" x14ac:dyDescent="0.5">
      <c r="A106" s="48" t="s">
        <v>350</v>
      </c>
      <c r="B106" s="95" t="s">
        <v>39</v>
      </c>
      <c r="I106" s="1" t="s">
        <v>31</v>
      </c>
      <c r="K106" s="4" t="s">
        <v>38</v>
      </c>
      <c r="L106" s="61" t="s">
        <v>40</v>
      </c>
      <c r="M106" s="236"/>
      <c r="N106" s="236"/>
      <c r="O106" s="236"/>
      <c r="P106" s="236"/>
      <c r="Q106" s="236"/>
      <c r="R106" s="236"/>
      <c r="S106" s="236"/>
      <c r="T106" s="236"/>
      <c r="U106" s="236"/>
      <c r="V106" s="236"/>
      <c r="W106" s="236"/>
      <c r="X106" s="236"/>
      <c r="Y106" s="236"/>
      <c r="Z106" s="236"/>
      <c r="AA106" s="236"/>
      <c r="AB106" s="236"/>
      <c r="AC106" s="236"/>
      <c r="AD106" s="236"/>
      <c r="AE106" s="236"/>
      <c r="AF106" s="236"/>
      <c r="AG106" s="236"/>
      <c r="AH106" s="236"/>
      <c r="AI106" s="236"/>
      <c r="AJ106" s="236"/>
      <c r="AK106" s="236"/>
    </row>
    <row r="107" spans="1:37" ht="45" x14ac:dyDescent="0.5">
      <c r="A107" s="48" t="s">
        <v>351</v>
      </c>
      <c r="B107" s="95" t="s">
        <v>161</v>
      </c>
      <c r="I107" s="1" t="s">
        <v>132</v>
      </c>
      <c r="K107" s="4" t="s">
        <v>15</v>
      </c>
      <c r="L107" s="61"/>
      <c r="M107" s="236"/>
      <c r="N107" s="236"/>
      <c r="O107" s="236"/>
      <c r="P107" s="236"/>
      <c r="Q107" s="236"/>
      <c r="R107" s="236"/>
      <c r="S107" s="236"/>
      <c r="T107" s="236"/>
      <c r="U107" s="236"/>
      <c r="V107" s="236"/>
      <c r="W107" s="236"/>
      <c r="X107" s="236"/>
      <c r="Y107" s="236"/>
      <c r="Z107" s="236"/>
      <c r="AA107" s="236"/>
      <c r="AB107" s="236"/>
      <c r="AC107" s="236"/>
      <c r="AD107" s="236"/>
      <c r="AE107" s="236"/>
      <c r="AF107" s="236"/>
      <c r="AG107" s="236"/>
      <c r="AH107" s="236"/>
      <c r="AI107" s="236"/>
      <c r="AJ107" s="236"/>
      <c r="AK107" s="236"/>
    </row>
    <row r="108" spans="1:37" ht="45" x14ac:dyDescent="0.5">
      <c r="A108" s="48" t="s">
        <v>352</v>
      </c>
      <c r="B108" s="95" t="s">
        <v>162</v>
      </c>
      <c r="I108" s="1" t="s">
        <v>132</v>
      </c>
      <c r="K108" s="4" t="s">
        <v>38</v>
      </c>
      <c r="L108" s="61" t="s">
        <v>163</v>
      </c>
      <c r="M108" s="236"/>
      <c r="N108" s="236"/>
      <c r="O108" s="236"/>
      <c r="P108" s="236"/>
      <c r="Q108" s="236"/>
      <c r="R108" s="236"/>
      <c r="S108" s="236"/>
      <c r="T108" s="236"/>
      <c r="U108" s="236"/>
      <c r="V108" s="236"/>
      <c r="W108" s="236"/>
      <c r="X108" s="236"/>
      <c r="Y108" s="236"/>
      <c r="Z108" s="236"/>
      <c r="AA108" s="236"/>
      <c r="AB108" s="236"/>
      <c r="AC108" s="236"/>
      <c r="AD108" s="236"/>
      <c r="AE108" s="236"/>
      <c r="AF108" s="236"/>
      <c r="AG108" s="236"/>
      <c r="AH108" s="236"/>
      <c r="AI108" s="236"/>
      <c r="AJ108" s="236"/>
      <c r="AK108" s="236"/>
    </row>
    <row r="109" spans="1:37" ht="47" thickBot="1" x14ac:dyDescent="0.55000000000000004">
      <c r="A109" s="47" t="s">
        <v>353</v>
      </c>
      <c r="B109" s="96" t="s">
        <v>43</v>
      </c>
      <c r="C109" s="10"/>
      <c r="D109" s="10"/>
      <c r="E109" s="10"/>
      <c r="F109" s="10"/>
      <c r="G109" s="10"/>
      <c r="H109" s="10"/>
      <c r="I109" s="66" t="s">
        <v>31</v>
      </c>
      <c r="J109" s="10"/>
      <c r="K109" s="60" t="s">
        <v>38</v>
      </c>
      <c r="L109" s="62" t="s">
        <v>44</v>
      </c>
      <c r="M109" s="236"/>
      <c r="N109" s="236"/>
      <c r="O109" s="236"/>
      <c r="P109" s="236"/>
      <c r="Q109" s="236"/>
      <c r="R109" s="236"/>
      <c r="S109" s="236"/>
      <c r="T109" s="236"/>
      <c r="U109" s="236"/>
      <c r="V109" s="236"/>
      <c r="W109" s="236"/>
      <c r="X109" s="236"/>
      <c r="Y109" s="236"/>
      <c r="Z109" s="236"/>
      <c r="AA109" s="236"/>
      <c r="AB109" s="236"/>
      <c r="AC109" s="236"/>
      <c r="AD109" s="236"/>
      <c r="AE109" s="236"/>
      <c r="AF109" s="236"/>
      <c r="AG109" s="236"/>
      <c r="AH109" s="236"/>
      <c r="AI109" s="236"/>
      <c r="AJ109" s="236"/>
      <c r="AK109" s="236"/>
    </row>
    <row r="110" spans="1:37" x14ac:dyDescent="0.35">
      <c r="A110" s="257"/>
      <c r="B110" s="257"/>
      <c r="C110" s="257"/>
      <c r="D110" s="257"/>
      <c r="E110" s="257"/>
      <c r="F110" s="257"/>
      <c r="G110" s="257"/>
      <c r="H110" s="257"/>
      <c r="I110" s="257"/>
      <c r="J110" s="257"/>
      <c r="K110" s="236"/>
      <c r="L110" s="236"/>
      <c r="M110" s="236"/>
      <c r="N110" s="236"/>
      <c r="O110" s="236"/>
      <c r="P110" s="236"/>
      <c r="Q110" s="236"/>
      <c r="R110" s="236"/>
      <c r="S110" s="236"/>
      <c r="T110" s="236"/>
      <c r="U110" s="236"/>
      <c r="V110" s="236"/>
      <c r="W110" s="236"/>
      <c r="X110" s="236"/>
      <c r="Y110" s="236"/>
      <c r="Z110" s="236"/>
      <c r="AA110" s="236"/>
      <c r="AB110" s="236"/>
      <c r="AC110" s="236"/>
      <c r="AD110" s="236"/>
      <c r="AE110" s="236"/>
      <c r="AF110" s="236"/>
      <c r="AG110" s="236"/>
      <c r="AH110" s="236"/>
      <c r="AI110" s="236"/>
    </row>
    <row r="111" spans="1:37" x14ac:dyDescent="0.35">
      <c r="A111" s="257"/>
      <c r="B111" s="257"/>
      <c r="C111" s="257"/>
      <c r="D111" s="257"/>
      <c r="E111" s="257"/>
      <c r="F111" s="257"/>
      <c r="G111" s="257"/>
      <c r="H111" s="257"/>
      <c r="I111" s="257"/>
      <c r="J111" s="257"/>
      <c r="K111" s="236"/>
      <c r="L111" s="236"/>
      <c r="M111" s="236"/>
      <c r="N111" s="236"/>
      <c r="O111" s="236"/>
      <c r="P111" s="236"/>
      <c r="Q111" s="236"/>
      <c r="R111" s="236"/>
      <c r="S111" s="236"/>
      <c r="T111" s="236"/>
      <c r="U111" s="236"/>
      <c r="V111" s="236"/>
      <c r="W111" s="236"/>
      <c r="X111" s="236"/>
      <c r="Y111" s="236"/>
      <c r="Z111" s="236"/>
      <c r="AA111" s="236"/>
      <c r="AB111" s="236"/>
      <c r="AC111" s="236"/>
      <c r="AD111" s="236"/>
      <c r="AE111" s="236"/>
      <c r="AF111" s="236"/>
      <c r="AG111" s="236"/>
      <c r="AH111" s="236"/>
      <c r="AI111" s="236"/>
    </row>
    <row r="112" spans="1:37" ht="15" thickBot="1" x14ac:dyDescent="0.4">
      <c r="A112" s="257"/>
      <c r="B112" s="257"/>
      <c r="C112" s="257"/>
      <c r="D112" s="257"/>
      <c r="E112" s="257"/>
      <c r="F112" s="257"/>
      <c r="G112" s="257"/>
      <c r="H112" s="257"/>
      <c r="I112" s="257"/>
      <c r="J112" s="257"/>
      <c r="K112" s="236"/>
      <c r="L112" s="236"/>
      <c r="M112" s="236"/>
      <c r="N112" s="236"/>
      <c r="O112" s="236"/>
      <c r="P112" s="236"/>
      <c r="Q112" s="236"/>
      <c r="R112" s="236"/>
      <c r="S112" s="236"/>
      <c r="T112" s="236"/>
      <c r="U112" s="236"/>
      <c r="V112" s="236"/>
      <c r="W112" s="236"/>
      <c r="X112" s="236"/>
      <c r="Y112" s="236"/>
      <c r="Z112" s="236"/>
      <c r="AA112" s="236"/>
      <c r="AB112" s="236"/>
      <c r="AC112" s="236"/>
      <c r="AD112" s="236"/>
      <c r="AE112" s="236"/>
      <c r="AF112" s="236"/>
      <c r="AG112" s="236"/>
      <c r="AH112" s="236"/>
      <c r="AI112" s="236"/>
    </row>
    <row r="113" spans="1:37" s="5" customFormat="1" ht="33.5" x14ac:dyDescent="0.75">
      <c r="A113" s="265" t="s">
        <v>354</v>
      </c>
      <c r="B113" s="266"/>
      <c r="C113" s="266"/>
      <c r="D113" s="266"/>
      <c r="E113" s="267"/>
      <c r="F113" s="268"/>
      <c r="G113" s="268"/>
      <c r="H113" s="268"/>
      <c r="I113" s="268"/>
      <c r="J113" s="268"/>
      <c r="K113" s="239"/>
      <c r="L113" s="239"/>
      <c r="M113" s="239"/>
      <c r="N113" s="239"/>
      <c r="O113" s="239"/>
      <c r="P113" s="239"/>
      <c r="Q113" s="239"/>
      <c r="R113" s="239"/>
      <c r="S113" s="239"/>
      <c r="T113" s="239"/>
      <c r="U113" s="239"/>
      <c r="V113" s="239"/>
      <c r="W113" s="239"/>
      <c r="X113" s="239"/>
      <c r="Y113" s="239"/>
      <c r="Z113" s="239"/>
      <c r="AA113" s="239"/>
      <c r="AB113" s="239"/>
      <c r="AC113" s="239"/>
      <c r="AD113" s="239"/>
      <c r="AE113" s="239"/>
      <c r="AF113" s="239"/>
      <c r="AG113" s="239"/>
      <c r="AH113" s="239"/>
      <c r="AI113" s="239"/>
    </row>
    <row r="114" spans="1:37" x14ac:dyDescent="0.35">
      <c r="A114" s="24" t="s">
        <v>223</v>
      </c>
      <c r="B114" t="s">
        <v>224</v>
      </c>
      <c r="C114" t="s">
        <v>225</v>
      </c>
      <c r="D114" t="s">
        <v>226</v>
      </c>
      <c r="E114" s="14" t="s">
        <v>227</v>
      </c>
      <c r="F114" s="268"/>
      <c r="G114" s="268"/>
      <c r="H114" s="268"/>
      <c r="I114" s="268"/>
      <c r="J114" s="268"/>
      <c r="K114" s="236"/>
      <c r="L114" s="236"/>
      <c r="M114" s="236"/>
      <c r="N114" s="236"/>
      <c r="O114" s="236"/>
      <c r="P114" s="236"/>
      <c r="Q114" s="236"/>
      <c r="R114" s="236"/>
      <c r="S114" s="236"/>
      <c r="T114" s="236"/>
      <c r="U114" s="236"/>
      <c r="V114" s="236"/>
      <c r="W114" s="236"/>
      <c r="X114" s="236"/>
      <c r="Y114" s="236"/>
      <c r="Z114" s="236"/>
      <c r="AA114" s="236"/>
      <c r="AB114" s="236"/>
      <c r="AC114" s="236"/>
      <c r="AD114" s="236"/>
      <c r="AE114" s="236"/>
      <c r="AF114" s="236"/>
      <c r="AG114" s="236"/>
      <c r="AH114" s="236"/>
      <c r="AI114" s="236"/>
    </row>
    <row r="115" spans="1:37" ht="46.5" x14ac:dyDescent="0.35">
      <c r="A115" s="25" t="s">
        <v>355</v>
      </c>
      <c r="B115" t="s">
        <v>33</v>
      </c>
      <c r="E115" s="14"/>
      <c r="F115" s="268"/>
      <c r="G115" s="268"/>
      <c r="H115" s="268"/>
      <c r="I115" s="268"/>
      <c r="J115" s="268"/>
      <c r="K115" s="236"/>
      <c r="L115" s="236"/>
      <c r="M115" s="236"/>
      <c r="N115" s="236"/>
      <c r="O115" s="236"/>
      <c r="P115" s="236"/>
      <c r="Q115" s="236"/>
      <c r="R115" s="236"/>
      <c r="S115" s="236"/>
      <c r="T115" s="236"/>
      <c r="U115" s="236"/>
      <c r="V115" s="236"/>
      <c r="W115" s="236"/>
      <c r="X115" s="236"/>
      <c r="Y115" s="236"/>
      <c r="Z115" s="236"/>
      <c r="AA115" s="236"/>
      <c r="AB115" s="236"/>
      <c r="AC115" s="236"/>
      <c r="AD115" s="236"/>
      <c r="AE115" s="236"/>
      <c r="AF115" s="236"/>
      <c r="AG115" s="236"/>
      <c r="AH115" s="236"/>
      <c r="AI115" s="236"/>
    </row>
    <row r="116" spans="1:37" ht="49" customHeight="1" thickBot="1" x14ac:dyDescent="0.4">
      <c r="A116" s="9"/>
      <c r="B116" s="10"/>
      <c r="C116" s="10"/>
      <c r="D116" s="10"/>
      <c r="E116" s="11"/>
      <c r="F116" s="268"/>
      <c r="G116" s="268"/>
      <c r="H116" s="268"/>
      <c r="I116" s="268"/>
      <c r="J116" s="268"/>
      <c r="K116" s="236"/>
      <c r="L116" s="236"/>
      <c r="M116" s="236"/>
      <c r="N116" s="236"/>
      <c r="O116" s="236"/>
      <c r="P116" s="236"/>
      <c r="Q116" s="236"/>
      <c r="R116" s="236"/>
      <c r="S116" s="236"/>
      <c r="T116" s="236"/>
      <c r="U116" s="236"/>
      <c r="V116" s="236"/>
      <c r="W116" s="236"/>
      <c r="X116" s="236"/>
      <c r="Y116" s="236"/>
      <c r="Z116" s="236"/>
      <c r="AA116" s="236"/>
      <c r="AB116" s="236"/>
      <c r="AC116" s="236"/>
      <c r="AD116" s="236"/>
      <c r="AE116" s="236"/>
      <c r="AF116" s="236"/>
      <c r="AG116" s="236"/>
      <c r="AH116" s="236"/>
      <c r="AI116" s="236"/>
    </row>
    <row r="117" spans="1:37" x14ac:dyDescent="0.35">
      <c r="A117" s="257"/>
      <c r="B117" s="257"/>
      <c r="C117" s="257"/>
      <c r="D117" s="257"/>
      <c r="E117" s="257"/>
      <c r="F117" s="257"/>
      <c r="G117" s="257"/>
      <c r="H117" s="257"/>
      <c r="I117" s="257"/>
      <c r="J117" s="257"/>
      <c r="K117" s="236"/>
      <c r="L117" s="236"/>
      <c r="M117" s="236"/>
      <c r="N117" s="236"/>
      <c r="O117" s="236"/>
      <c r="P117" s="236"/>
      <c r="Q117" s="236"/>
      <c r="R117" s="236"/>
      <c r="S117" s="236"/>
      <c r="T117" s="236"/>
      <c r="U117" s="236"/>
      <c r="V117" s="236"/>
      <c r="W117" s="236"/>
      <c r="X117" s="236"/>
      <c r="Y117" s="236"/>
      <c r="Z117" s="236"/>
      <c r="AA117" s="236"/>
      <c r="AB117" s="236"/>
      <c r="AC117" s="236"/>
      <c r="AD117" s="236"/>
      <c r="AE117" s="236"/>
      <c r="AF117" s="236"/>
      <c r="AG117" s="236"/>
      <c r="AH117" s="236"/>
      <c r="AI117" s="236"/>
    </row>
    <row r="118" spans="1:37" ht="15" thickBot="1" x14ac:dyDescent="0.4">
      <c r="A118" t="s">
        <v>3</v>
      </c>
      <c r="B118" t="s">
        <v>4</v>
      </c>
      <c r="C118" t="s">
        <v>230</v>
      </c>
      <c r="D118" t="s">
        <v>231</v>
      </c>
      <c r="E118" t="s">
        <v>232</v>
      </c>
      <c r="F118" t="s">
        <v>233</v>
      </c>
      <c r="G118" t="s">
        <v>234</v>
      </c>
      <c r="H118" t="s">
        <v>235</v>
      </c>
      <c r="I118" t="s">
        <v>236</v>
      </c>
      <c r="J118" t="s">
        <v>253</v>
      </c>
      <c r="K118" t="s">
        <v>238</v>
      </c>
      <c r="L118" t="s">
        <v>6</v>
      </c>
      <c r="M118" s="236"/>
      <c r="N118" s="236"/>
      <c r="O118" s="236"/>
      <c r="P118" s="236"/>
      <c r="Q118" s="236"/>
      <c r="R118" s="236"/>
      <c r="S118" s="236"/>
      <c r="T118" s="236"/>
      <c r="U118" s="236"/>
      <c r="V118" s="236"/>
      <c r="W118" s="236"/>
      <c r="X118" s="236"/>
      <c r="Y118" s="236"/>
      <c r="Z118" s="236"/>
      <c r="AA118" s="236"/>
      <c r="AB118" s="236"/>
      <c r="AC118" s="236"/>
      <c r="AD118" s="236"/>
      <c r="AE118" s="236"/>
      <c r="AF118" s="236"/>
      <c r="AG118" s="236"/>
      <c r="AH118" s="236"/>
      <c r="AI118" s="236"/>
      <c r="AJ118" s="236"/>
      <c r="AK118" s="236"/>
    </row>
    <row r="119" spans="1:37" s="26" customFormat="1" ht="21" x14ac:dyDescent="0.5">
      <c r="A119" s="114" t="s">
        <v>297</v>
      </c>
      <c r="B119" s="115" t="s">
        <v>240</v>
      </c>
      <c r="C119" s="116"/>
      <c r="D119" s="116"/>
      <c r="E119" s="116"/>
      <c r="F119" s="116"/>
      <c r="G119" s="116"/>
      <c r="H119" s="116"/>
      <c r="I119" s="116"/>
      <c r="J119" s="116"/>
      <c r="K119" s="116"/>
      <c r="L119" s="117"/>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row>
    <row r="120" spans="1:37" ht="59.5" x14ac:dyDescent="0.5">
      <c r="A120" s="45" t="s">
        <v>298</v>
      </c>
      <c r="B120" s="95" t="s">
        <v>12</v>
      </c>
      <c r="C120" t="s">
        <v>15</v>
      </c>
      <c r="I120" t="s">
        <v>13</v>
      </c>
      <c r="K120" s="4" t="s">
        <v>33</v>
      </c>
      <c r="L120" s="61" t="s">
        <v>14</v>
      </c>
      <c r="M120" s="236"/>
      <c r="N120" s="236"/>
      <c r="O120" s="236"/>
      <c r="P120" s="236"/>
      <c r="Q120" s="236"/>
      <c r="R120" s="236"/>
      <c r="S120" s="236"/>
      <c r="T120" s="236"/>
      <c r="U120" s="236"/>
      <c r="V120" s="236"/>
      <c r="W120" s="236"/>
      <c r="X120" s="236"/>
      <c r="Y120" s="236"/>
      <c r="Z120" s="236"/>
      <c r="AA120" s="236"/>
      <c r="AB120" s="236"/>
      <c r="AC120" s="236"/>
      <c r="AD120" s="236"/>
      <c r="AE120" s="236"/>
      <c r="AF120" s="236"/>
      <c r="AG120" s="236"/>
      <c r="AH120" s="236"/>
      <c r="AI120" s="236"/>
      <c r="AJ120" s="236"/>
      <c r="AK120" s="236"/>
    </row>
    <row r="121" spans="1:37" ht="59.5" x14ac:dyDescent="0.5">
      <c r="A121" s="45" t="s">
        <v>356</v>
      </c>
      <c r="B121" s="95" t="s">
        <v>17</v>
      </c>
      <c r="I121" t="s">
        <v>13</v>
      </c>
      <c r="K121" s="4" t="s">
        <v>33</v>
      </c>
      <c r="L121" s="61" t="s">
        <v>14</v>
      </c>
      <c r="M121" s="236"/>
      <c r="N121" s="236"/>
      <c r="O121" s="236"/>
      <c r="P121" s="236"/>
      <c r="Q121" s="236"/>
      <c r="R121" s="236"/>
      <c r="S121" s="236"/>
      <c r="T121" s="236"/>
      <c r="U121" s="236"/>
      <c r="V121" s="236"/>
      <c r="W121" s="236"/>
      <c r="X121" s="236"/>
      <c r="Y121" s="236"/>
      <c r="Z121" s="236"/>
      <c r="AA121" s="236"/>
      <c r="AB121" s="236"/>
      <c r="AC121" s="236"/>
      <c r="AD121" s="236"/>
      <c r="AE121" s="236"/>
      <c r="AF121" s="236"/>
      <c r="AG121" s="236"/>
      <c r="AH121" s="236"/>
      <c r="AI121" s="236"/>
      <c r="AJ121" s="236"/>
      <c r="AK121" s="236"/>
    </row>
    <row r="122" spans="1:37" s="26" customFormat="1" ht="21.5" thickBot="1" x14ac:dyDescent="0.55000000000000004">
      <c r="A122" s="101" t="s">
        <v>357</v>
      </c>
      <c r="B122" s="102" t="s">
        <v>240</v>
      </c>
      <c r="C122" s="103"/>
      <c r="D122" s="103"/>
      <c r="E122" s="103"/>
      <c r="F122" s="103"/>
      <c r="G122" s="103"/>
      <c r="H122" s="103"/>
      <c r="I122" s="103"/>
      <c r="J122" s="103"/>
      <c r="K122" s="104"/>
      <c r="L122" s="105"/>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row>
    <row r="123" spans="1:37" x14ac:dyDescent="0.35">
      <c r="A123" s="236"/>
      <c r="B123" s="236"/>
      <c r="C123" s="236"/>
      <c r="D123" s="236"/>
      <c r="E123" s="236"/>
      <c r="F123" s="236"/>
      <c r="G123" s="236"/>
      <c r="H123" s="236"/>
      <c r="I123" s="236"/>
      <c r="J123" s="236"/>
      <c r="K123" s="236"/>
      <c r="L123" s="236"/>
      <c r="M123" s="236"/>
      <c r="N123" s="236"/>
      <c r="O123" s="236"/>
      <c r="P123" s="236"/>
      <c r="Q123" s="236"/>
      <c r="R123" s="236"/>
      <c r="S123" s="236"/>
      <c r="T123" s="236"/>
      <c r="U123" s="236"/>
      <c r="V123" s="236"/>
      <c r="W123" s="236"/>
      <c r="X123" s="236"/>
      <c r="Y123" s="236"/>
      <c r="Z123" s="236"/>
      <c r="AA123" s="236"/>
      <c r="AB123" s="236"/>
      <c r="AC123" s="236"/>
      <c r="AD123" s="236"/>
      <c r="AE123" s="236"/>
      <c r="AF123" s="236"/>
      <c r="AG123" s="236"/>
      <c r="AH123" s="236"/>
      <c r="AI123" s="236"/>
    </row>
    <row r="124" spans="1:37" x14ac:dyDescent="0.35">
      <c r="A124" s="236"/>
      <c r="B124" s="236"/>
      <c r="C124" s="236"/>
      <c r="D124" s="236"/>
      <c r="E124" s="236"/>
      <c r="F124" s="236"/>
      <c r="G124" s="236"/>
      <c r="H124" s="236"/>
      <c r="I124" s="236"/>
      <c r="J124" s="236"/>
      <c r="K124" s="236"/>
      <c r="L124" s="236"/>
      <c r="M124" s="236"/>
      <c r="N124" s="236"/>
      <c r="O124" s="236"/>
      <c r="P124" s="236"/>
      <c r="Q124" s="236"/>
      <c r="R124" s="236"/>
      <c r="S124" s="236"/>
      <c r="T124" s="236"/>
      <c r="U124" s="236"/>
      <c r="V124" s="236"/>
      <c r="W124" s="236"/>
      <c r="X124" s="236"/>
      <c r="Y124" s="236"/>
      <c r="Z124" s="236"/>
      <c r="AA124" s="236"/>
      <c r="AB124" s="236"/>
      <c r="AC124" s="236"/>
      <c r="AD124" s="236"/>
      <c r="AE124" s="236"/>
      <c r="AF124" s="236"/>
      <c r="AG124" s="236"/>
      <c r="AH124" s="236"/>
      <c r="AI124" s="236"/>
    </row>
    <row r="125" spans="1:37" x14ac:dyDescent="0.35">
      <c r="A125" s="236"/>
      <c r="B125" s="236"/>
      <c r="C125" s="236"/>
      <c r="D125" s="236"/>
      <c r="E125" s="236"/>
      <c r="F125" s="236"/>
      <c r="G125" s="236"/>
      <c r="H125" s="236"/>
      <c r="I125" s="236"/>
      <c r="J125" s="236"/>
      <c r="K125" s="236"/>
      <c r="L125" s="236"/>
      <c r="M125" s="236"/>
      <c r="N125" s="236"/>
      <c r="O125" s="236"/>
      <c r="P125" s="236"/>
      <c r="Q125" s="236"/>
      <c r="R125" s="236"/>
      <c r="S125" s="236"/>
      <c r="T125" s="236"/>
      <c r="U125" s="236"/>
      <c r="V125" s="236"/>
      <c r="W125" s="236"/>
      <c r="X125" s="236"/>
      <c r="Y125" s="236"/>
      <c r="Z125" s="236"/>
      <c r="AA125" s="236"/>
      <c r="AB125" s="236"/>
      <c r="AC125" s="236"/>
      <c r="AD125" s="236"/>
      <c r="AE125" s="236"/>
      <c r="AF125" s="236"/>
      <c r="AG125" s="236"/>
      <c r="AH125" s="236"/>
      <c r="AI125" s="236"/>
    </row>
    <row r="126" spans="1:37" x14ac:dyDescent="0.35">
      <c r="A126" s="236"/>
      <c r="B126" s="236"/>
      <c r="C126" s="236"/>
      <c r="D126" s="236"/>
      <c r="E126" s="236"/>
      <c r="F126" s="236"/>
      <c r="G126" s="236"/>
      <c r="H126" s="236"/>
      <c r="I126" s="236"/>
      <c r="J126" s="236"/>
      <c r="K126" s="236"/>
      <c r="L126" s="236"/>
      <c r="M126" s="236"/>
      <c r="N126" s="236"/>
      <c r="O126" s="236"/>
      <c r="P126" s="236"/>
      <c r="Q126" s="236"/>
      <c r="R126" s="236"/>
      <c r="S126" s="236"/>
      <c r="T126" s="236"/>
      <c r="U126" s="236"/>
      <c r="V126" s="236"/>
      <c r="W126" s="236"/>
      <c r="X126" s="236"/>
      <c r="Y126" s="236"/>
      <c r="Z126" s="236"/>
      <c r="AA126" s="236"/>
      <c r="AB126" s="236"/>
      <c r="AC126" s="236"/>
      <c r="AD126" s="236"/>
      <c r="AE126" s="236"/>
      <c r="AF126" s="236"/>
      <c r="AG126" s="236"/>
      <c r="AH126" s="236"/>
      <c r="AI126" s="236"/>
    </row>
    <row r="127" spans="1:37" x14ac:dyDescent="0.35">
      <c r="A127" s="236"/>
      <c r="B127" s="236"/>
      <c r="C127" s="236"/>
      <c r="D127" s="236"/>
      <c r="E127" s="236"/>
      <c r="F127" s="236"/>
      <c r="G127" s="236"/>
      <c r="H127" s="236"/>
      <c r="I127" s="236"/>
      <c r="J127" s="236"/>
      <c r="K127" s="236"/>
      <c r="L127" s="236"/>
      <c r="M127" s="236"/>
      <c r="N127" s="236"/>
      <c r="O127" s="236"/>
      <c r="P127" s="236"/>
      <c r="Q127" s="236"/>
      <c r="R127" s="236"/>
      <c r="S127" s="236"/>
      <c r="T127" s="236"/>
      <c r="U127" s="236"/>
      <c r="V127" s="236"/>
      <c r="W127" s="236"/>
      <c r="X127" s="236"/>
      <c r="Y127" s="236"/>
      <c r="Z127" s="236"/>
      <c r="AA127" s="236"/>
      <c r="AB127" s="236"/>
      <c r="AC127" s="236"/>
      <c r="AD127" s="236"/>
      <c r="AE127" s="236"/>
      <c r="AF127" s="236"/>
      <c r="AG127" s="236"/>
      <c r="AH127" s="236"/>
      <c r="AI127" s="236"/>
    </row>
    <row r="128" spans="1:37" x14ac:dyDescent="0.35">
      <c r="A128" s="236"/>
      <c r="B128" s="236"/>
      <c r="C128" s="236"/>
      <c r="D128" s="236"/>
      <c r="E128" s="236"/>
      <c r="F128" s="236"/>
      <c r="G128" s="236"/>
      <c r="H128" s="236"/>
      <c r="I128" s="236"/>
      <c r="J128" s="236"/>
      <c r="K128" s="236"/>
      <c r="L128" s="236"/>
      <c r="M128" s="236"/>
      <c r="N128" s="236"/>
      <c r="O128" s="236"/>
      <c r="P128" s="236"/>
      <c r="Q128" s="236"/>
      <c r="R128" s="236"/>
      <c r="S128" s="236"/>
      <c r="T128" s="236"/>
      <c r="U128" s="236"/>
      <c r="V128" s="236"/>
      <c r="W128" s="236"/>
      <c r="X128" s="236"/>
      <c r="Y128" s="236"/>
      <c r="Z128" s="236"/>
      <c r="AA128" s="236"/>
      <c r="AB128" s="236"/>
      <c r="AC128" s="236"/>
      <c r="AD128" s="236"/>
      <c r="AE128" s="236"/>
      <c r="AF128" s="236"/>
      <c r="AG128" s="236"/>
      <c r="AH128" s="236"/>
      <c r="AI128" s="236"/>
    </row>
    <row r="129" spans="1:35" x14ac:dyDescent="0.35">
      <c r="A129" s="236"/>
      <c r="B129" s="236"/>
      <c r="C129" s="236"/>
      <c r="D129" s="236"/>
      <c r="E129" s="236"/>
      <c r="F129" s="236"/>
      <c r="G129" s="236"/>
      <c r="H129" s="236"/>
      <c r="I129" s="236"/>
      <c r="J129" s="236"/>
      <c r="K129" s="236"/>
      <c r="L129" s="236"/>
      <c r="M129" s="236"/>
      <c r="N129" s="236"/>
      <c r="O129" s="236"/>
      <c r="P129" s="236"/>
      <c r="Q129" s="236"/>
      <c r="R129" s="236"/>
      <c r="S129" s="236"/>
      <c r="T129" s="236"/>
      <c r="U129" s="236"/>
      <c r="V129" s="236"/>
      <c r="W129" s="236"/>
      <c r="X129" s="236"/>
      <c r="Y129" s="236"/>
      <c r="Z129" s="236"/>
      <c r="AA129" s="236"/>
      <c r="AB129" s="236"/>
      <c r="AC129" s="236"/>
      <c r="AD129" s="236"/>
      <c r="AE129" s="236"/>
      <c r="AF129" s="236"/>
      <c r="AG129" s="236"/>
      <c r="AH129" s="236"/>
      <c r="AI129" s="236"/>
    </row>
    <row r="130" spans="1:35" x14ac:dyDescent="0.35">
      <c r="A130" s="236"/>
      <c r="B130" s="236"/>
      <c r="C130" s="236"/>
      <c r="D130" s="236"/>
      <c r="E130" s="236"/>
      <c r="F130" s="236"/>
      <c r="G130" s="236"/>
      <c r="H130" s="236"/>
      <c r="I130" s="236"/>
      <c r="J130" s="236"/>
      <c r="K130" s="236"/>
      <c r="L130" s="236"/>
      <c r="M130" s="236"/>
      <c r="N130" s="236"/>
      <c r="O130" s="236"/>
      <c r="P130" s="236"/>
      <c r="Q130" s="236"/>
      <c r="R130" s="236"/>
      <c r="S130" s="236"/>
      <c r="T130" s="236"/>
      <c r="U130" s="236"/>
      <c r="V130" s="236"/>
      <c r="W130" s="236"/>
      <c r="X130" s="236"/>
      <c r="Y130" s="236"/>
      <c r="Z130" s="236"/>
      <c r="AA130" s="236"/>
      <c r="AB130" s="236"/>
      <c r="AC130" s="236"/>
      <c r="AD130" s="236"/>
      <c r="AE130" s="236"/>
      <c r="AF130" s="236"/>
      <c r="AG130" s="236"/>
      <c r="AH130" s="236"/>
      <c r="AI130" s="236"/>
    </row>
    <row r="131" spans="1:35" x14ac:dyDescent="0.35">
      <c r="A131" s="236"/>
      <c r="B131" s="236"/>
      <c r="C131" s="236"/>
      <c r="D131" s="236"/>
      <c r="E131" s="236"/>
      <c r="F131" s="236"/>
      <c r="G131" s="236"/>
      <c r="H131" s="236"/>
      <c r="I131" s="236"/>
      <c r="J131" s="236"/>
      <c r="K131" s="236"/>
      <c r="L131" s="236"/>
      <c r="M131" s="236"/>
      <c r="N131" s="236"/>
      <c r="O131" s="236"/>
      <c r="P131" s="236"/>
      <c r="Q131" s="236"/>
      <c r="R131" s="236"/>
      <c r="S131" s="236"/>
      <c r="T131" s="236"/>
      <c r="U131" s="236"/>
      <c r="V131" s="236"/>
      <c r="W131" s="236"/>
      <c r="X131" s="236"/>
      <c r="Y131" s="236"/>
      <c r="Z131" s="236"/>
      <c r="AA131" s="236"/>
      <c r="AB131" s="236"/>
      <c r="AC131" s="236"/>
      <c r="AD131" s="236"/>
      <c r="AE131" s="236"/>
      <c r="AF131" s="236"/>
      <c r="AG131" s="236"/>
      <c r="AH131" s="236"/>
      <c r="AI131" s="236"/>
    </row>
    <row r="132" spans="1:35" x14ac:dyDescent="0.35">
      <c r="A132" s="236"/>
      <c r="B132" s="236"/>
      <c r="C132" s="236"/>
      <c r="D132" s="236"/>
      <c r="E132" s="236"/>
      <c r="F132" s="236"/>
      <c r="G132" s="236"/>
      <c r="H132" s="236"/>
      <c r="I132" s="236"/>
      <c r="J132" s="236"/>
      <c r="K132" s="236"/>
      <c r="L132" s="236"/>
      <c r="M132" s="236"/>
      <c r="N132" s="236"/>
      <c r="O132" s="236"/>
      <c r="P132" s="236"/>
      <c r="Q132" s="236"/>
      <c r="R132" s="236"/>
      <c r="S132" s="236"/>
      <c r="T132" s="236"/>
      <c r="U132" s="236"/>
      <c r="V132" s="236"/>
      <c r="W132" s="236"/>
      <c r="X132" s="236"/>
      <c r="Y132" s="236"/>
      <c r="Z132" s="236"/>
      <c r="AA132" s="236"/>
      <c r="AB132" s="236"/>
      <c r="AC132" s="236"/>
      <c r="AD132" s="236"/>
      <c r="AE132" s="236"/>
      <c r="AF132" s="236"/>
      <c r="AG132" s="236"/>
      <c r="AH132" s="236"/>
      <c r="AI132" s="236"/>
    </row>
    <row r="133" spans="1:35" x14ac:dyDescent="0.35">
      <c r="A133" s="236"/>
      <c r="B133" s="236"/>
      <c r="C133" s="236"/>
      <c r="D133" s="236"/>
      <c r="E133" s="236"/>
      <c r="F133" s="236"/>
      <c r="G133" s="236"/>
      <c r="H133" s="236"/>
      <c r="I133" s="236"/>
      <c r="J133" s="236"/>
      <c r="K133" s="236"/>
      <c r="L133" s="236"/>
      <c r="M133" s="236"/>
      <c r="N133" s="236"/>
      <c r="O133" s="236"/>
      <c r="P133" s="236"/>
      <c r="Q133" s="236"/>
      <c r="R133" s="236"/>
      <c r="S133" s="236"/>
      <c r="T133" s="236"/>
      <c r="U133" s="236"/>
      <c r="V133" s="236"/>
      <c r="W133" s="236"/>
      <c r="X133" s="236"/>
      <c r="Y133" s="236"/>
      <c r="Z133" s="236"/>
      <c r="AA133" s="236"/>
      <c r="AB133" s="236"/>
      <c r="AC133" s="236"/>
      <c r="AD133" s="236"/>
      <c r="AE133" s="236"/>
      <c r="AF133" s="236"/>
      <c r="AG133" s="236"/>
      <c r="AH133" s="236"/>
      <c r="AI133" s="236"/>
    </row>
    <row r="134" spans="1:35" x14ac:dyDescent="0.35">
      <c r="A134" s="236"/>
      <c r="B134" s="236"/>
      <c r="C134" s="236"/>
      <c r="D134" s="236"/>
      <c r="E134" s="236"/>
      <c r="F134" s="236"/>
      <c r="G134" s="236"/>
      <c r="H134" s="236"/>
      <c r="I134" s="236"/>
      <c r="J134" s="236"/>
      <c r="K134" s="236"/>
      <c r="L134" s="236"/>
      <c r="M134" s="236"/>
      <c r="N134" s="236"/>
      <c r="O134" s="236"/>
      <c r="P134" s="236"/>
      <c r="Q134" s="236"/>
      <c r="R134" s="236"/>
      <c r="S134" s="236"/>
      <c r="T134" s="236"/>
      <c r="U134" s="236"/>
      <c r="V134" s="236"/>
      <c r="W134" s="236"/>
      <c r="X134" s="236"/>
      <c r="Y134" s="236"/>
      <c r="Z134" s="236"/>
      <c r="AA134" s="236"/>
      <c r="AB134" s="236"/>
      <c r="AC134" s="236"/>
      <c r="AD134" s="236"/>
      <c r="AE134" s="236"/>
      <c r="AF134" s="236"/>
      <c r="AG134" s="236"/>
      <c r="AH134" s="236"/>
      <c r="AI134" s="236"/>
    </row>
    <row r="135" spans="1:35" x14ac:dyDescent="0.35">
      <c r="A135" s="236"/>
      <c r="B135" s="236"/>
      <c r="C135" s="236"/>
      <c r="D135" s="236"/>
      <c r="E135" s="236"/>
      <c r="F135" s="236"/>
      <c r="G135" s="236"/>
      <c r="H135" s="236"/>
      <c r="I135" s="236"/>
      <c r="J135" s="236"/>
      <c r="K135" s="236"/>
      <c r="L135" s="236"/>
      <c r="M135" s="236"/>
      <c r="N135" s="236"/>
      <c r="O135" s="236"/>
      <c r="P135" s="236"/>
      <c r="Q135" s="236"/>
      <c r="R135" s="236"/>
      <c r="S135" s="236"/>
      <c r="T135" s="236"/>
      <c r="U135" s="236"/>
      <c r="V135" s="236"/>
      <c r="W135" s="236"/>
      <c r="X135" s="236"/>
      <c r="Y135" s="236"/>
      <c r="Z135" s="236"/>
      <c r="AA135" s="236"/>
      <c r="AB135" s="236"/>
      <c r="AC135" s="236"/>
      <c r="AD135" s="236"/>
      <c r="AE135" s="236"/>
      <c r="AF135" s="236"/>
      <c r="AG135" s="236"/>
      <c r="AH135" s="236"/>
      <c r="AI135" s="236"/>
    </row>
    <row r="136" spans="1:35" x14ac:dyDescent="0.35">
      <c r="A136" s="236"/>
      <c r="B136" s="236"/>
      <c r="C136" s="236"/>
      <c r="D136" s="236"/>
      <c r="E136" s="236"/>
      <c r="F136" s="236"/>
      <c r="G136" s="236"/>
      <c r="H136" s="236"/>
      <c r="I136" s="236"/>
      <c r="J136" s="236"/>
      <c r="K136" s="236"/>
      <c r="L136" s="236"/>
      <c r="M136" s="236"/>
      <c r="N136" s="236"/>
      <c r="O136" s="236"/>
      <c r="P136" s="236"/>
      <c r="Q136" s="236"/>
      <c r="R136" s="236"/>
      <c r="S136" s="236"/>
      <c r="T136" s="236"/>
      <c r="U136" s="236"/>
      <c r="V136" s="236"/>
      <c r="W136" s="236"/>
      <c r="X136" s="236"/>
      <c r="Y136" s="236"/>
      <c r="Z136" s="236"/>
      <c r="AA136" s="236"/>
      <c r="AB136" s="236"/>
      <c r="AC136" s="236"/>
      <c r="AD136" s="236"/>
      <c r="AE136" s="236"/>
      <c r="AF136" s="236"/>
      <c r="AG136" s="236"/>
      <c r="AH136" s="236"/>
      <c r="AI136" s="236"/>
    </row>
    <row r="137" spans="1:35" x14ac:dyDescent="0.35">
      <c r="A137" s="236"/>
      <c r="B137" s="236"/>
      <c r="C137" s="236"/>
      <c r="D137" s="236"/>
      <c r="E137" s="236"/>
      <c r="F137" s="236"/>
      <c r="G137" s="236"/>
      <c r="H137" s="236"/>
      <c r="I137" s="236"/>
      <c r="J137" s="236"/>
      <c r="K137" s="236"/>
      <c r="L137" s="236"/>
      <c r="M137" s="236"/>
      <c r="N137" s="236"/>
      <c r="O137" s="236"/>
      <c r="P137" s="236"/>
      <c r="Q137" s="236"/>
      <c r="R137" s="236"/>
      <c r="S137" s="236"/>
      <c r="T137" s="236"/>
      <c r="U137" s="236"/>
      <c r="V137" s="236"/>
      <c r="W137" s="236"/>
      <c r="X137" s="236"/>
      <c r="Y137" s="236"/>
      <c r="Z137" s="236"/>
      <c r="AA137" s="236"/>
      <c r="AB137" s="236"/>
      <c r="AC137" s="236"/>
      <c r="AD137" s="236"/>
      <c r="AE137" s="236"/>
      <c r="AF137" s="236"/>
      <c r="AG137" s="236"/>
      <c r="AH137" s="236"/>
      <c r="AI137" s="236"/>
    </row>
    <row r="138" spans="1:35" x14ac:dyDescent="0.35">
      <c r="A138" s="236"/>
      <c r="B138" s="236"/>
      <c r="C138" s="236"/>
      <c r="D138" s="236"/>
      <c r="E138" s="236"/>
      <c r="F138" s="236"/>
      <c r="G138" s="236"/>
      <c r="H138" s="236"/>
      <c r="I138" s="236"/>
      <c r="J138" s="236"/>
      <c r="K138" s="236"/>
      <c r="L138" s="236"/>
      <c r="M138" s="236"/>
      <c r="N138" s="236"/>
      <c r="O138" s="236"/>
      <c r="P138" s="236"/>
      <c r="Q138" s="236"/>
      <c r="R138" s="236"/>
      <c r="S138" s="236"/>
      <c r="T138" s="236"/>
      <c r="U138" s="236"/>
      <c r="V138" s="236"/>
      <c r="W138" s="236"/>
      <c r="X138" s="236"/>
      <c r="Y138" s="236"/>
      <c r="Z138" s="236"/>
      <c r="AA138" s="236"/>
      <c r="AB138" s="236"/>
      <c r="AC138" s="236"/>
      <c r="AD138" s="236"/>
      <c r="AE138" s="236"/>
      <c r="AF138" s="236"/>
      <c r="AG138" s="236"/>
      <c r="AH138" s="236"/>
      <c r="AI138" s="236"/>
    </row>
    <row r="139" spans="1:35" x14ac:dyDescent="0.35">
      <c r="A139" s="236"/>
      <c r="B139" s="236"/>
      <c r="C139" s="236"/>
      <c r="D139" s="236"/>
      <c r="E139" s="236"/>
      <c r="F139" s="236"/>
      <c r="G139" s="236"/>
      <c r="H139" s="236"/>
      <c r="I139" s="236"/>
      <c r="J139" s="236"/>
      <c r="K139" s="236"/>
      <c r="L139" s="236"/>
      <c r="M139" s="236"/>
      <c r="N139" s="236"/>
      <c r="O139" s="236"/>
      <c r="P139" s="236"/>
      <c r="Q139" s="236"/>
      <c r="R139" s="236"/>
      <c r="S139" s="236"/>
      <c r="T139" s="236"/>
      <c r="U139" s="236"/>
      <c r="V139" s="236"/>
      <c r="W139" s="236"/>
      <c r="X139" s="236"/>
      <c r="Y139" s="236"/>
      <c r="Z139" s="236"/>
      <c r="AA139" s="236"/>
      <c r="AB139" s="236"/>
      <c r="AC139" s="236"/>
      <c r="AD139" s="236"/>
      <c r="AE139" s="236"/>
      <c r="AF139" s="236"/>
      <c r="AG139" s="236"/>
      <c r="AH139" s="236"/>
      <c r="AI139" s="236"/>
    </row>
    <row r="140" spans="1:35" x14ac:dyDescent="0.35">
      <c r="A140" s="236"/>
      <c r="B140" s="236"/>
      <c r="C140" s="236"/>
      <c r="D140" s="236"/>
      <c r="E140" s="236"/>
      <c r="F140" s="236"/>
      <c r="G140" s="236"/>
      <c r="H140" s="236"/>
      <c r="I140" s="236"/>
      <c r="J140" s="236"/>
      <c r="K140" s="236"/>
      <c r="L140" s="236"/>
      <c r="M140" s="236"/>
      <c r="N140" s="236"/>
      <c r="O140" s="236"/>
      <c r="P140" s="236"/>
      <c r="Q140" s="236"/>
      <c r="R140" s="236"/>
      <c r="S140" s="236"/>
      <c r="T140" s="236"/>
      <c r="U140" s="236"/>
      <c r="V140" s="236"/>
      <c r="W140" s="236"/>
      <c r="X140" s="236"/>
      <c r="Y140" s="236"/>
      <c r="Z140" s="236"/>
      <c r="AA140" s="236"/>
      <c r="AB140" s="236"/>
      <c r="AC140" s="236"/>
      <c r="AD140" s="236"/>
      <c r="AE140" s="236"/>
      <c r="AF140" s="236"/>
      <c r="AG140" s="236"/>
      <c r="AH140" s="236"/>
      <c r="AI140" s="236"/>
    </row>
    <row r="141" spans="1:35" x14ac:dyDescent="0.35">
      <c r="A141" s="236"/>
      <c r="B141" s="236"/>
      <c r="C141" s="236"/>
      <c r="D141" s="236"/>
      <c r="E141" s="236"/>
      <c r="F141" s="236"/>
      <c r="G141" s="236"/>
      <c r="H141" s="236"/>
      <c r="I141" s="236"/>
      <c r="J141" s="236"/>
      <c r="K141" s="236"/>
      <c r="L141" s="236"/>
      <c r="M141" s="236"/>
      <c r="N141" s="236"/>
      <c r="O141" s="236"/>
      <c r="P141" s="236"/>
      <c r="Q141" s="236"/>
      <c r="R141" s="236"/>
      <c r="S141" s="236"/>
      <c r="T141" s="236"/>
      <c r="U141" s="236"/>
      <c r="V141" s="236"/>
      <c r="W141" s="236"/>
      <c r="X141" s="236"/>
      <c r="Y141" s="236"/>
      <c r="Z141" s="236"/>
      <c r="AA141" s="236"/>
      <c r="AB141" s="236"/>
      <c r="AC141" s="236"/>
      <c r="AD141" s="236"/>
      <c r="AE141" s="236"/>
      <c r="AF141" s="236"/>
      <c r="AG141" s="236"/>
      <c r="AH141" s="236"/>
      <c r="AI141" s="236"/>
    </row>
    <row r="142" spans="1:35" x14ac:dyDescent="0.35">
      <c r="A142" s="236"/>
      <c r="B142" s="236"/>
      <c r="C142" s="236"/>
      <c r="D142" s="236"/>
      <c r="E142" s="236"/>
      <c r="F142" s="236"/>
      <c r="G142" s="236"/>
      <c r="H142" s="236"/>
      <c r="I142" s="236"/>
      <c r="J142" s="236"/>
      <c r="K142" s="236"/>
      <c r="L142" s="236"/>
      <c r="M142" s="236"/>
      <c r="N142" s="236"/>
      <c r="O142" s="236"/>
      <c r="P142" s="236"/>
      <c r="Q142" s="236"/>
      <c r="R142" s="236"/>
      <c r="S142" s="236"/>
      <c r="T142" s="236"/>
      <c r="U142" s="236"/>
      <c r="V142" s="236"/>
      <c r="W142" s="236"/>
      <c r="X142" s="236"/>
      <c r="Y142" s="236"/>
      <c r="Z142" s="236"/>
      <c r="AA142" s="236"/>
      <c r="AB142" s="236"/>
      <c r="AC142" s="236"/>
      <c r="AD142" s="236"/>
      <c r="AE142" s="236"/>
      <c r="AF142" s="236"/>
      <c r="AG142" s="236"/>
      <c r="AH142" s="236"/>
      <c r="AI142" s="236"/>
    </row>
    <row r="143" spans="1:35" x14ac:dyDescent="0.35">
      <c r="A143" s="236"/>
      <c r="B143" s="236"/>
      <c r="C143" s="236"/>
      <c r="D143" s="236"/>
      <c r="E143" s="236"/>
      <c r="F143" s="236"/>
      <c r="G143" s="236"/>
      <c r="H143" s="236"/>
      <c r="I143" s="236"/>
      <c r="J143" s="236"/>
      <c r="K143" s="236"/>
      <c r="L143" s="236"/>
      <c r="M143" s="236"/>
      <c r="N143" s="236"/>
      <c r="O143" s="236"/>
      <c r="P143" s="236"/>
      <c r="Q143" s="236"/>
      <c r="R143" s="236"/>
      <c r="S143" s="236"/>
      <c r="T143" s="236"/>
      <c r="U143" s="236"/>
      <c r="V143" s="236"/>
      <c r="W143" s="236"/>
      <c r="X143" s="236"/>
      <c r="Y143" s="236"/>
      <c r="Z143" s="236"/>
      <c r="AA143" s="236"/>
      <c r="AB143" s="236"/>
      <c r="AC143" s="236"/>
      <c r="AD143" s="236"/>
      <c r="AE143" s="236"/>
      <c r="AF143" s="236"/>
      <c r="AG143" s="236"/>
      <c r="AH143" s="236"/>
      <c r="AI143" s="236"/>
    </row>
    <row r="144" spans="1:35" x14ac:dyDescent="0.35">
      <c r="A144" s="236"/>
      <c r="B144" s="236"/>
      <c r="C144" s="236"/>
      <c r="D144" s="236"/>
      <c r="E144" s="236"/>
      <c r="F144" s="236"/>
      <c r="G144" s="236"/>
      <c r="H144" s="236"/>
      <c r="I144" s="236"/>
      <c r="J144" s="236"/>
      <c r="K144" s="236"/>
      <c r="L144" s="236"/>
      <c r="M144" s="236"/>
      <c r="N144" s="236"/>
      <c r="O144" s="236"/>
      <c r="P144" s="236"/>
      <c r="Q144" s="236"/>
      <c r="R144" s="236"/>
      <c r="S144" s="236"/>
      <c r="T144" s="236"/>
      <c r="U144" s="236"/>
      <c r="V144" s="236"/>
      <c r="W144" s="236"/>
      <c r="X144" s="236"/>
      <c r="Y144" s="236"/>
      <c r="Z144" s="236"/>
      <c r="AA144" s="236"/>
      <c r="AB144" s="236"/>
      <c r="AC144" s="236"/>
      <c r="AD144" s="236"/>
      <c r="AE144" s="236"/>
      <c r="AF144" s="236"/>
      <c r="AG144" s="236"/>
      <c r="AH144" s="236"/>
      <c r="AI144" s="236"/>
    </row>
    <row r="145" spans="1:35" x14ac:dyDescent="0.35">
      <c r="A145" s="236"/>
      <c r="B145" s="236"/>
      <c r="C145" s="236"/>
      <c r="D145" s="236"/>
      <c r="E145" s="236"/>
      <c r="F145" s="236"/>
      <c r="G145" s="236"/>
      <c r="H145" s="236"/>
      <c r="I145" s="236"/>
      <c r="J145" s="236"/>
      <c r="K145" s="236"/>
      <c r="L145" s="236"/>
      <c r="M145" s="236"/>
      <c r="N145" s="236"/>
      <c r="O145" s="236"/>
      <c r="P145" s="236"/>
      <c r="Q145" s="236"/>
      <c r="R145" s="236"/>
      <c r="S145" s="236"/>
      <c r="T145" s="236"/>
      <c r="U145" s="236"/>
      <c r="V145" s="236"/>
      <c r="W145" s="236"/>
      <c r="X145" s="236"/>
      <c r="Y145" s="236"/>
      <c r="Z145" s="236"/>
      <c r="AA145" s="236"/>
      <c r="AB145" s="236"/>
      <c r="AC145" s="236"/>
      <c r="AD145" s="236"/>
      <c r="AE145" s="236"/>
      <c r="AF145" s="236"/>
      <c r="AG145" s="236"/>
      <c r="AH145" s="236"/>
      <c r="AI145" s="236"/>
    </row>
    <row r="146" spans="1:35" x14ac:dyDescent="0.35">
      <c r="A146" s="236"/>
      <c r="B146" s="236"/>
      <c r="C146" s="236"/>
      <c r="D146" s="236"/>
      <c r="E146" s="236"/>
      <c r="F146" s="236"/>
      <c r="G146" s="236"/>
      <c r="H146" s="236"/>
      <c r="I146" s="236"/>
      <c r="J146" s="236"/>
      <c r="K146" s="236"/>
      <c r="L146" s="236"/>
      <c r="M146" s="236"/>
      <c r="N146" s="236"/>
      <c r="O146" s="236"/>
      <c r="P146" s="236"/>
      <c r="Q146" s="236"/>
      <c r="R146" s="236"/>
      <c r="S146" s="236"/>
      <c r="T146" s="236"/>
      <c r="U146" s="236"/>
      <c r="V146" s="236"/>
      <c r="W146" s="236"/>
      <c r="X146" s="236"/>
      <c r="Y146" s="236"/>
      <c r="Z146" s="236"/>
      <c r="AA146" s="236"/>
      <c r="AB146" s="236"/>
      <c r="AC146" s="236"/>
      <c r="AD146" s="236"/>
      <c r="AE146" s="236"/>
      <c r="AF146" s="236"/>
      <c r="AG146" s="236"/>
      <c r="AH146" s="236"/>
      <c r="AI146" s="236"/>
    </row>
    <row r="147" spans="1:35" x14ac:dyDescent="0.35">
      <c r="A147" s="236"/>
      <c r="B147" s="236"/>
      <c r="C147" s="236"/>
      <c r="D147" s="236"/>
      <c r="E147" s="236"/>
      <c r="F147" s="236"/>
      <c r="G147" s="236"/>
      <c r="H147" s="236"/>
      <c r="I147" s="236"/>
      <c r="J147" s="236"/>
      <c r="K147" s="236"/>
      <c r="L147" s="236"/>
      <c r="M147" s="236"/>
      <c r="N147" s="236"/>
      <c r="O147" s="236"/>
      <c r="P147" s="236"/>
      <c r="Q147" s="236"/>
      <c r="R147" s="236"/>
      <c r="S147" s="236"/>
      <c r="T147" s="236"/>
      <c r="U147" s="236"/>
      <c r="V147" s="236"/>
      <c r="W147" s="236"/>
      <c r="X147" s="236"/>
      <c r="Y147" s="236"/>
      <c r="Z147" s="236"/>
      <c r="AA147" s="236"/>
      <c r="AB147" s="236"/>
      <c r="AC147" s="236"/>
      <c r="AD147" s="236"/>
      <c r="AE147" s="236"/>
      <c r="AF147" s="236"/>
      <c r="AG147" s="236"/>
      <c r="AH147" s="236"/>
      <c r="AI147" s="236"/>
    </row>
    <row r="148" spans="1:35" x14ac:dyDescent="0.35">
      <c r="A148" s="236"/>
      <c r="B148" s="236"/>
      <c r="C148" s="236"/>
      <c r="D148" s="236"/>
      <c r="E148" s="236"/>
      <c r="F148" s="236"/>
      <c r="G148" s="236"/>
      <c r="H148" s="236"/>
      <c r="I148" s="236"/>
      <c r="J148" s="236"/>
      <c r="K148" s="236"/>
      <c r="L148" s="236"/>
      <c r="M148" s="236"/>
      <c r="N148" s="236"/>
      <c r="O148" s="236"/>
      <c r="P148" s="236"/>
      <c r="Q148" s="236"/>
      <c r="R148" s="236"/>
      <c r="S148" s="236"/>
      <c r="T148" s="236"/>
      <c r="U148" s="236"/>
      <c r="V148" s="236"/>
      <c r="W148" s="236"/>
      <c r="X148" s="236"/>
      <c r="Y148" s="236"/>
      <c r="Z148" s="236"/>
      <c r="AA148" s="236"/>
      <c r="AB148" s="236"/>
      <c r="AC148" s="236"/>
      <c r="AD148" s="236"/>
      <c r="AE148" s="236"/>
      <c r="AF148" s="236"/>
      <c r="AG148" s="236"/>
      <c r="AH148" s="236"/>
      <c r="AI148" s="236"/>
    </row>
    <row r="149" spans="1:35" x14ac:dyDescent="0.35">
      <c r="A149" s="236"/>
      <c r="B149" s="236"/>
      <c r="C149" s="236"/>
      <c r="D149" s="236"/>
      <c r="E149" s="236"/>
      <c r="F149" s="236"/>
      <c r="G149" s="236"/>
      <c r="H149" s="236"/>
      <c r="I149" s="236"/>
      <c r="J149" s="236"/>
      <c r="K149" s="236"/>
      <c r="L149" s="236"/>
      <c r="M149" s="236"/>
      <c r="N149" s="236"/>
      <c r="O149" s="236"/>
      <c r="P149" s="236"/>
      <c r="Q149" s="236"/>
      <c r="R149" s="236"/>
      <c r="S149" s="236"/>
      <c r="T149" s="236"/>
      <c r="U149" s="236"/>
      <c r="V149" s="236"/>
      <c r="W149" s="236"/>
      <c r="X149" s="236"/>
      <c r="Y149" s="236"/>
      <c r="Z149" s="236"/>
      <c r="AA149" s="236"/>
      <c r="AB149" s="236"/>
      <c r="AC149" s="236"/>
      <c r="AD149" s="236"/>
      <c r="AE149" s="236"/>
      <c r="AF149" s="236"/>
      <c r="AG149" s="236"/>
      <c r="AH149" s="236"/>
      <c r="AI149" s="236"/>
    </row>
    <row r="150" spans="1:35" x14ac:dyDescent="0.35">
      <c r="A150" s="236"/>
      <c r="B150" s="236"/>
      <c r="C150" s="236"/>
      <c r="D150" s="236"/>
      <c r="E150" s="236"/>
      <c r="F150" s="236"/>
      <c r="G150" s="236"/>
      <c r="H150" s="236"/>
      <c r="I150" s="236"/>
      <c r="J150" s="236"/>
      <c r="K150" s="236"/>
      <c r="L150" s="236"/>
      <c r="M150" s="236"/>
      <c r="N150" s="236"/>
      <c r="O150" s="236"/>
      <c r="P150" s="236"/>
      <c r="Q150" s="236"/>
      <c r="R150" s="236"/>
      <c r="S150" s="236"/>
      <c r="T150" s="236"/>
      <c r="U150" s="236"/>
      <c r="V150" s="236"/>
      <c r="W150" s="236"/>
      <c r="X150" s="236"/>
      <c r="Y150" s="236"/>
      <c r="Z150" s="236"/>
      <c r="AA150" s="236"/>
      <c r="AB150" s="236"/>
      <c r="AC150" s="236"/>
      <c r="AD150" s="236"/>
      <c r="AE150" s="236"/>
      <c r="AF150" s="236"/>
      <c r="AG150" s="236"/>
      <c r="AH150" s="236"/>
      <c r="AI150" s="236"/>
    </row>
    <row r="151" spans="1:35" x14ac:dyDescent="0.35">
      <c r="A151" s="236"/>
      <c r="B151" s="236"/>
      <c r="C151" s="236"/>
      <c r="D151" s="236"/>
      <c r="E151" s="236"/>
      <c r="F151" s="236"/>
      <c r="G151" s="236"/>
      <c r="H151" s="236"/>
      <c r="I151" s="236"/>
      <c r="J151" s="236"/>
      <c r="K151" s="236"/>
      <c r="L151" s="236"/>
      <c r="M151" s="236"/>
      <c r="N151" s="236"/>
      <c r="O151" s="236"/>
      <c r="P151" s="236"/>
      <c r="Q151" s="236"/>
      <c r="R151" s="236"/>
      <c r="S151" s="236"/>
      <c r="T151" s="236"/>
      <c r="U151" s="236"/>
      <c r="V151" s="236"/>
      <c r="W151" s="236"/>
      <c r="X151" s="236"/>
      <c r="Y151" s="236"/>
      <c r="Z151" s="236"/>
      <c r="AA151" s="236"/>
      <c r="AB151" s="236"/>
      <c r="AC151" s="236"/>
      <c r="AD151" s="236"/>
      <c r="AE151" s="236"/>
      <c r="AF151" s="236"/>
      <c r="AG151" s="236"/>
      <c r="AH151" s="236"/>
      <c r="AI151" s="236"/>
    </row>
    <row r="152" spans="1:35" x14ac:dyDescent="0.35">
      <c r="A152" s="236"/>
      <c r="B152" s="236"/>
      <c r="C152" s="236"/>
      <c r="D152" s="236"/>
      <c r="E152" s="236"/>
      <c r="F152" s="236"/>
      <c r="G152" s="236"/>
      <c r="H152" s="236"/>
      <c r="I152" s="236"/>
      <c r="J152" s="236"/>
      <c r="K152" s="236"/>
      <c r="L152" s="236"/>
      <c r="M152" s="236"/>
      <c r="N152" s="236"/>
      <c r="O152" s="236"/>
      <c r="P152" s="236"/>
      <c r="Q152" s="236"/>
      <c r="R152" s="236"/>
      <c r="S152" s="236"/>
      <c r="T152" s="236"/>
      <c r="U152" s="236"/>
      <c r="V152" s="236"/>
      <c r="W152" s="236"/>
      <c r="X152" s="236"/>
      <c r="Y152" s="236"/>
      <c r="Z152" s="236"/>
      <c r="AA152" s="236"/>
      <c r="AB152" s="236"/>
      <c r="AC152" s="236"/>
      <c r="AD152" s="236"/>
      <c r="AE152" s="236"/>
      <c r="AF152" s="236"/>
      <c r="AG152" s="236"/>
      <c r="AH152" s="236"/>
      <c r="AI152" s="236"/>
    </row>
    <row r="153" spans="1:35" x14ac:dyDescent="0.35">
      <c r="A153" s="236"/>
      <c r="B153" s="236"/>
      <c r="C153" s="236"/>
      <c r="D153" s="236"/>
      <c r="E153" s="236"/>
      <c r="F153" s="236"/>
      <c r="G153" s="236"/>
      <c r="H153" s="236"/>
      <c r="I153" s="236"/>
      <c r="J153" s="236"/>
      <c r="K153" s="236"/>
      <c r="L153" s="236"/>
      <c r="M153" s="236"/>
      <c r="N153" s="236"/>
      <c r="O153" s="236"/>
      <c r="P153" s="236"/>
      <c r="Q153" s="236"/>
      <c r="R153" s="236"/>
      <c r="S153" s="236"/>
      <c r="T153" s="236"/>
      <c r="U153" s="236"/>
      <c r="V153" s="236"/>
      <c r="W153" s="236"/>
      <c r="X153" s="236"/>
      <c r="Y153" s="236"/>
      <c r="Z153" s="236"/>
      <c r="AA153" s="236"/>
      <c r="AB153" s="236"/>
      <c r="AC153" s="236"/>
      <c r="AD153" s="236"/>
      <c r="AE153" s="236"/>
      <c r="AF153" s="236"/>
      <c r="AG153" s="236"/>
      <c r="AH153" s="236"/>
      <c r="AI153" s="236"/>
    </row>
    <row r="154" spans="1:35" x14ac:dyDescent="0.35">
      <c r="A154" s="236"/>
      <c r="B154" s="236"/>
      <c r="C154" s="236"/>
      <c r="D154" s="236"/>
      <c r="E154" s="236"/>
      <c r="F154" s="236"/>
      <c r="G154" s="236"/>
      <c r="H154" s="236"/>
      <c r="I154" s="236"/>
      <c r="J154" s="236"/>
      <c r="K154" s="236"/>
      <c r="L154" s="236"/>
      <c r="M154" s="236"/>
      <c r="N154" s="236"/>
      <c r="O154" s="236"/>
      <c r="P154" s="236"/>
      <c r="Q154" s="236"/>
      <c r="R154" s="236"/>
      <c r="S154" s="236"/>
      <c r="T154" s="236"/>
      <c r="U154" s="236"/>
      <c r="V154" s="236"/>
      <c r="W154" s="236"/>
      <c r="X154" s="236"/>
      <c r="Y154" s="236"/>
      <c r="Z154" s="236"/>
      <c r="AA154" s="236"/>
      <c r="AB154" s="236"/>
      <c r="AC154" s="236"/>
      <c r="AD154" s="236"/>
      <c r="AE154" s="236"/>
      <c r="AF154" s="236"/>
      <c r="AG154" s="236"/>
      <c r="AH154" s="236"/>
      <c r="AI154" s="236"/>
    </row>
    <row r="155" spans="1:35" x14ac:dyDescent="0.35">
      <c r="A155" s="236"/>
      <c r="B155" s="236"/>
      <c r="C155" s="236"/>
      <c r="D155" s="236"/>
      <c r="E155" s="236"/>
      <c r="F155" s="236"/>
      <c r="G155" s="236"/>
      <c r="H155" s="236"/>
      <c r="I155" s="236"/>
      <c r="J155" s="236"/>
      <c r="K155" s="236"/>
      <c r="L155" s="236"/>
      <c r="M155" s="236"/>
      <c r="N155" s="236"/>
      <c r="O155" s="236"/>
      <c r="P155" s="236"/>
      <c r="Q155" s="236"/>
      <c r="R155" s="236"/>
      <c r="S155" s="236"/>
      <c r="T155" s="236"/>
      <c r="U155" s="236"/>
      <c r="V155" s="236"/>
      <c r="W155" s="236"/>
      <c r="X155" s="236"/>
      <c r="Y155" s="236"/>
      <c r="Z155" s="236"/>
      <c r="AA155" s="236"/>
      <c r="AB155" s="236"/>
      <c r="AC155" s="236"/>
      <c r="AD155" s="236"/>
      <c r="AE155" s="236"/>
      <c r="AF155" s="236"/>
      <c r="AG155" s="236"/>
      <c r="AH155" s="236"/>
      <c r="AI155" s="236"/>
    </row>
    <row r="156" spans="1:35" x14ac:dyDescent="0.35">
      <c r="A156" s="236"/>
      <c r="B156" s="236"/>
      <c r="C156" s="236"/>
      <c r="D156" s="236"/>
      <c r="E156" s="236"/>
      <c r="F156" s="236"/>
      <c r="G156" s="236"/>
      <c r="H156" s="236"/>
      <c r="I156" s="236"/>
      <c r="J156" s="236"/>
      <c r="K156" s="236"/>
      <c r="L156" s="236"/>
      <c r="M156" s="236"/>
      <c r="N156" s="236"/>
      <c r="O156" s="236"/>
      <c r="P156" s="236"/>
      <c r="Q156" s="236"/>
      <c r="R156" s="236"/>
      <c r="S156" s="236"/>
      <c r="T156" s="236"/>
      <c r="U156" s="236"/>
      <c r="V156" s="236"/>
      <c r="W156" s="236"/>
      <c r="X156" s="236"/>
      <c r="Y156" s="236"/>
      <c r="Z156" s="236"/>
      <c r="AA156" s="236"/>
      <c r="AB156" s="236"/>
      <c r="AC156" s="236"/>
      <c r="AD156" s="236"/>
      <c r="AE156" s="236"/>
      <c r="AF156" s="236"/>
      <c r="AG156" s="236"/>
      <c r="AH156" s="236"/>
      <c r="AI156" s="236"/>
    </row>
    <row r="157" spans="1:35" x14ac:dyDescent="0.35">
      <c r="A157" s="236"/>
      <c r="B157" s="236"/>
      <c r="C157" s="236"/>
      <c r="D157" s="236"/>
      <c r="E157" s="236"/>
      <c r="F157" s="236"/>
      <c r="G157" s="236"/>
      <c r="H157" s="236"/>
      <c r="I157" s="236"/>
      <c r="J157" s="236"/>
      <c r="K157" s="236"/>
      <c r="L157" s="236"/>
      <c r="M157" s="236"/>
      <c r="N157" s="236"/>
      <c r="O157" s="236"/>
      <c r="P157" s="236"/>
      <c r="Q157" s="236"/>
      <c r="R157" s="236"/>
      <c r="S157" s="236"/>
      <c r="T157" s="236"/>
      <c r="U157" s="236"/>
      <c r="V157" s="236"/>
      <c r="W157" s="236"/>
      <c r="X157" s="236"/>
      <c r="Y157" s="236"/>
      <c r="Z157" s="236"/>
      <c r="AA157" s="236"/>
      <c r="AB157" s="236"/>
      <c r="AC157" s="236"/>
      <c r="AD157" s="236"/>
      <c r="AE157" s="236"/>
      <c r="AF157" s="236"/>
      <c r="AG157" s="236"/>
      <c r="AH157" s="236"/>
      <c r="AI157" s="236"/>
    </row>
    <row r="158" spans="1:35" x14ac:dyDescent="0.35">
      <c r="A158" s="236"/>
      <c r="B158" s="236"/>
      <c r="C158" s="236"/>
      <c r="D158" s="236"/>
      <c r="E158" s="236"/>
      <c r="F158" s="236"/>
      <c r="G158" s="236"/>
      <c r="H158" s="236"/>
      <c r="I158" s="236"/>
      <c r="J158" s="236"/>
      <c r="K158" s="236"/>
      <c r="L158" s="236"/>
      <c r="M158" s="236"/>
      <c r="N158" s="236"/>
      <c r="O158" s="236"/>
      <c r="P158" s="236"/>
      <c r="Q158" s="236"/>
      <c r="R158" s="236"/>
      <c r="S158" s="236"/>
      <c r="T158" s="236"/>
      <c r="U158" s="236"/>
      <c r="V158" s="236"/>
      <c r="W158" s="236"/>
      <c r="X158" s="236"/>
      <c r="Y158" s="236"/>
      <c r="Z158" s="236"/>
      <c r="AA158" s="236"/>
      <c r="AB158" s="236"/>
      <c r="AC158" s="236"/>
      <c r="AD158" s="236"/>
      <c r="AE158" s="236"/>
      <c r="AF158" s="236"/>
      <c r="AG158" s="236"/>
      <c r="AH158" s="236"/>
      <c r="AI158" s="236"/>
    </row>
    <row r="159" spans="1:35" x14ac:dyDescent="0.35">
      <c r="A159" s="236"/>
      <c r="B159" s="236"/>
      <c r="C159" s="236"/>
      <c r="D159" s="236"/>
      <c r="E159" s="236"/>
      <c r="F159" s="236"/>
      <c r="G159" s="236"/>
      <c r="H159" s="236"/>
      <c r="I159" s="236"/>
      <c r="J159" s="236"/>
      <c r="K159" s="236"/>
      <c r="L159" s="236"/>
      <c r="M159" s="236"/>
      <c r="N159" s="236"/>
      <c r="O159" s="236"/>
      <c r="P159" s="236"/>
      <c r="Q159" s="236"/>
      <c r="R159" s="236"/>
      <c r="S159" s="236"/>
      <c r="T159" s="236"/>
      <c r="U159" s="236"/>
      <c r="V159" s="236"/>
      <c r="W159" s="236"/>
      <c r="X159" s="236"/>
      <c r="Y159" s="236"/>
      <c r="Z159" s="236"/>
      <c r="AA159" s="236"/>
      <c r="AB159" s="236"/>
      <c r="AC159" s="236"/>
      <c r="AD159" s="236"/>
      <c r="AE159" s="236"/>
      <c r="AF159" s="236"/>
      <c r="AG159" s="236"/>
      <c r="AH159" s="236"/>
      <c r="AI159" s="236"/>
    </row>
    <row r="160" spans="1:35" x14ac:dyDescent="0.35">
      <c r="A160" s="236"/>
      <c r="B160" s="236"/>
      <c r="C160" s="236"/>
      <c r="D160" s="236"/>
      <c r="E160" s="236"/>
      <c r="F160" s="236"/>
      <c r="G160" s="236"/>
      <c r="H160" s="236"/>
      <c r="I160" s="236"/>
      <c r="J160" s="236"/>
      <c r="K160" s="236"/>
      <c r="L160" s="236"/>
      <c r="M160" s="236"/>
      <c r="N160" s="236"/>
      <c r="O160" s="236"/>
      <c r="P160" s="236"/>
      <c r="Q160" s="236"/>
      <c r="R160" s="236"/>
      <c r="S160" s="236"/>
      <c r="T160" s="236"/>
      <c r="U160" s="236"/>
      <c r="V160" s="236"/>
      <c r="W160" s="236"/>
      <c r="X160" s="236"/>
      <c r="Y160" s="236"/>
      <c r="Z160" s="236"/>
      <c r="AA160" s="236"/>
      <c r="AB160" s="236"/>
      <c r="AC160" s="236"/>
      <c r="AD160" s="236"/>
      <c r="AE160" s="236"/>
      <c r="AF160" s="236"/>
      <c r="AG160" s="236"/>
      <c r="AH160" s="236"/>
      <c r="AI160" s="236"/>
    </row>
    <row r="161" spans="1:35" x14ac:dyDescent="0.35">
      <c r="A161" s="236"/>
      <c r="B161" s="236"/>
      <c r="C161" s="236"/>
      <c r="D161" s="236"/>
      <c r="E161" s="236"/>
      <c r="F161" s="236"/>
      <c r="G161" s="236"/>
      <c r="H161" s="236"/>
      <c r="I161" s="236"/>
      <c r="J161" s="236"/>
      <c r="K161" s="236"/>
      <c r="L161" s="236"/>
      <c r="M161" s="236"/>
      <c r="N161" s="236"/>
      <c r="O161" s="236"/>
      <c r="P161" s="236"/>
      <c r="Q161" s="236"/>
      <c r="R161" s="236"/>
      <c r="S161" s="236"/>
      <c r="T161" s="236"/>
      <c r="U161" s="236"/>
      <c r="V161" s="236"/>
      <c r="W161" s="236"/>
      <c r="X161" s="236"/>
      <c r="Y161" s="236"/>
      <c r="Z161" s="236"/>
      <c r="AA161" s="236"/>
      <c r="AB161" s="236"/>
      <c r="AC161" s="236"/>
      <c r="AD161" s="236"/>
      <c r="AE161" s="236"/>
      <c r="AF161" s="236"/>
      <c r="AG161" s="236"/>
      <c r="AH161" s="236"/>
      <c r="AI161" s="236"/>
    </row>
    <row r="162" spans="1:35" x14ac:dyDescent="0.35">
      <c r="A162" s="236"/>
      <c r="B162" s="236"/>
      <c r="C162" s="236"/>
      <c r="D162" s="236"/>
      <c r="E162" s="236"/>
      <c r="F162" s="236"/>
      <c r="G162" s="236"/>
      <c r="H162" s="236"/>
      <c r="I162" s="236"/>
      <c r="J162" s="236"/>
      <c r="K162" s="236"/>
      <c r="L162" s="236"/>
      <c r="M162" s="236"/>
      <c r="N162" s="236"/>
      <c r="O162" s="236"/>
      <c r="P162" s="236"/>
      <c r="Q162" s="236"/>
      <c r="R162" s="236"/>
      <c r="S162" s="236"/>
      <c r="T162" s="236"/>
      <c r="U162" s="236"/>
      <c r="V162" s="236"/>
      <c r="W162" s="236"/>
      <c r="X162" s="236"/>
      <c r="Y162" s="236"/>
      <c r="Z162" s="236"/>
      <c r="AA162" s="236"/>
      <c r="AB162" s="236"/>
      <c r="AC162" s="236"/>
      <c r="AD162" s="236"/>
      <c r="AE162" s="236"/>
      <c r="AF162" s="236"/>
      <c r="AG162" s="236"/>
      <c r="AH162" s="236"/>
      <c r="AI162" s="236"/>
    </row>
    <row r="163" spans="1:35" x14ac:dyDescent="0.35">
      <c r="A163" s="236"/>
      <c r="B163" s="236"/>
      <c r="C163" s="236"/>
      <c r="D163" s="236"/>
      <c r="E163" s="236"/>
      <c r="F163" s="236"/>
      <c r="G163" s="236"/>
      <c r="H163" s="236"/>
      <c r="I163" s="236"/>
      <c r="J163" s="236"/>
      <c r="K163" s="236"/>
      <c r="L163" s="236"/>
      <c r="M163" s="236"/>
      <c r="N163" s="236"/>
      <c r="O163" s="236"/>
      <c r="P163" s="236"/>
      <c r="Q163" s="236"/>
      <c r="R163" s="236"/>
      <c r="S163" s="236"/>
      <c r="T163" s="236"/>
      <c r="U163" s="236"/>
      <c r="V163" s="236"/>
      <c r="W163" s="236"/>
      <c r="X163" s="236"/>
      <c r="Y163" s="236"/>
      <c r="Z163" s="236"/>
      <c r="AA163" s="236"/>
      <c r="AB163" s="236"/>
      <c r="AC163" s="236"/>
      <c r="AD163" s="236"/>
      <c r="AE163" s="236"/>
      <c r="AF163" s="236"/>
      <c r="AG163" s="236"/>
      <c r="AH163" s="236"/>
      <c r="AI163" s="236"/>
    </row>
    <row r="164" spans="1:35" x14ac:dyDescent="0.35">
      <c r="A164" s="236"/>
      <c r="B164" s="236"/>
      <c r="C164" s="236"/>
      <c r="D164" s="236"/>
      <c r="E164" s="236"/>
      <c r="F164" s="236"/>
      <c r="G164" s="236"/>
      <c r="H164" s="236"/>
      <c r="I164" s="236"/>
      <c r="J164" s="236"/>
      <c r="K164" s="236"/>
      <c r="L164" s="236"/>
      <c r="M164" s="236"/>
      <c r="N164" s="236"/>
      <c r="O164" s="236"/>
      <c r="P164" s="236"/>
      <c r="Q164" s="236"/>
      <c r="R164" s="236"/>
      <c r="S164" s="236"/>
      <c r="T164" s="236"/>
      <c r="U164" s="236"/>
      <c r="V164" s="236"/>
      <c r="W164" s="236"/>
      <c r="X164" s="236"/>
      <c r="Y164" s="236"/>
      <c r="Z164" s="236"/>
      <c r="AA164" s="236"/>
      <c r="AB164" s="236"/>
      <c r="AC164" s="236"/>
      <c r="AD164" s="236"/>
      <c r="AE164" s="236"/>
      <c r="AF164" s="236"/>
      <c r="AG164" s="236"/>
      <c r="AH164" s="236"/>
      <c r="AI164" s="236"/>
    </row>
    <row r="165" spans="1:35" x14ac:dyDescent="0.35">
      <c r="A165" s="236"/>
      <c r="B165" s="236"/>
      <c r="C165" s="236"/>
      <c r="D165" s="236"/>
      <c r="E165" s="236"/>
      <c r="F165" s="236"/>
      <c r="G165" s="236"/>
      <c r="H165" s="236"/>
      <c r="I165" s="236"/>
      <c r="J165" s="236"/>
      <c r="K165" s="236"/>
      <c r="L165" s="236"/>
      <c r="M165" s="236"/>
      <c r="N165" s="236"/>
      <c r="O165" s="236"/>
      <c r="P165" s="236"/>
      <c r="Q165" s="236"/>
      <c r="R165" s="236"/>
      <c r="S165" s="236"/>
      <c r="T165" s="236"/>
      <c r="U165" s="236"/>
      <c r="V165" s="236"/>
      <c r="W165" s="236"/>
      <c r="X165" s="236"/>
      <c r="Y165" s="236"/>
      <c r="Z165" s="236"/>
      <c r="AA165" s="236"/>
      <c r="AB165" s="236"/>
      <c r="AC165" s="236"/>
      <c r="AD165" s="236"/>
      <c r="AE165" s="236"/>
      <c r="AF165" s="236"/>
      <c r="AG165" s="236"/>
      <c r="AH165" s="236"/>
      <c r="AI165" s="236"/>
    </row>
    <row r="166" spans="1:35" x14ac:dyDescent="0.35">
      <c r="A166" s="236"/>
      <c r="B166" s="236"/>
      <c r="C166" s="236"/>
      <c r="D166" s="236"/>
      <c r="E166" s="236"/>
      <c r="F166" s="236"/>
      <c r="G166" s="236"/>
      <c r="H166" s="236"/>
      <c r="I166" s="236"/>
      <c r="J166" s="236"/>
      <c r="K166" s="236"/>
      <c r="L166" s="236"/>
      <c r="M166" s="236"/>
      <c r="N166" s="236"/>
      <c r="O166" s="236"/>
      <c r="P166" s="236"/>
      <c r="Q166" s="236"/>
      <c r="R166" s="236"/>
      <c r="S166" s="236"/>
      <c r="T166" s="236"/>
      <c r="U166" s="236"/>
      <c r="V166" s="236"/>
      <c r="W166" s="236"/>
      <c r="X166" s="236"/>
      <c r="Y166" s="236"/>
      <c r="Z166" s="236"/>
      <c r="AA166" s="236"/>
      <c r="AB166" s="236"/>
      <c r="AC166" s="236"/>
      <c r="AD166" s="236"/>
      <c r="AE166" s="236"/>
      <c r="AF166" s="236"/>
      <c r="AG166" s="236"/>
      <c r="AH166" s="236"/>
      <c r="AI166" s="236"/>
    </row>
    <row r="167" spans="1:35" x14ac:dyDescent="0.35">
      <c r="A167" s="236"/>
      <c r="B167" s="236"/>
      <c r="C167" s="236"/>
      <c r="D167" s="236"/>
      <c r="E167" s="236"/>
      <c r="F167" s="236"/>
      <c r="G167" s="236"/>
      <c r="H167" s="236"/>
      <c r="I167" s="236"/>
      <c r="J167" s="236"/>
      <c r="K167" s="236"/>
      <c r="L167" s="236"/>
      <c r="M167" s="236"/>
      <c r="N167" s="236"/>
      <c r="O167" s="236"/>
      <c r="P167" s="236"/>
      <c r="Q167" s="236"/>
      <c r="R167" s="236"/>
      <c r="S167" s="236"/>
      <c r="T167" s="236"/>
      <c r="U167" s="236"/>
      <c r="V167" s="236"/>
      <c r="W167" s="236"/>
      <c r="X167" s="236"/>
      <c r="Y167" s="236"/>
      <c r="Z167" s="236"/>
      <c r="AA167" s="236"/>
      <c r="AB167" s="236"/>
      <c r="AC167" s="236"/>
      <c r="AD167" s="236"/>
      <c r="AE167" s="236"/>
      <c r="AF167" s="236"/>
      <c r="AG167" s="236"/>
      <c r="AH167" s="236"/>
      <c r="AI167" s="236"/>
    </row>
    <row r="168" spans="1:35" x14ac:dyDescent="0.35">
      <c r="A168" s="236"/>
      <c r="B168" s="236"/>
      <c r="C168" s="236"/>
      <c r="D168" s="236"/>
      <c r="E168" s="236"/>
      <c r="F168" s="236"/>
      <c r="G168" s="236"/>
      <c r="H168" s="236"/>
      <c r="I168" s="236"/>
      <c r="J168" s="236"/>
      <c r="K168" s="236"/>
      <c r="L168" s="236"/>
      <c r="M168" s="236"/>
      <c r="N168" s="236"/>
      <c r="O168" s="236"/>
      <c r="P168" s="236"/>
      <c r="Q168" s="236"/>
      <c r="R168" s="236"/>
      <c r="S168" s="236"/>
      <c r="T168" s="236"/>
      <c r="U168" s="236"/>
      <c r="V168" s="236"/>
      <c r="W168" s="236"/>
      <c r="X168" s="236"/>
      <c r="Y168" s="236"/>
      <c r="Z168" s="236"/>
      <c r="AA168" s="236"/>
      <c r="AB168" s="236"/>
      <c r="AC168" s="236"/>
      <c r="AD168" s="236"/>
      <c r="AE168" s="236"/>
      <c r="AF168" s="236"/>
      <c r="AG168" s="236"/>
      <c r="AH168" s="236"/>
      <c r="AI168" s="236"/>
    </row>
    <row r="169" spans="1:35" x14ac:dyDescent="0.35">
      <c r="A169" s="236"/>
      <c r="B169" s="236"/>
      <c r="C169" s="236"/>
      <c r="D169" s="236"/>
      <c r="E169" s="236"/>
      <c r="F169" s="236"/>
      <c r="G169" s="236"/>
      <c r="H169" s="236"/>
      <c r="I169" s="236"/>
      <c r="J169" s="236"/>
      <c r="K169" s="236"/>
      <c r="L169" s="236"/>
      <c r="M169" s="236"/>
      <c r="N169" s="236"/>
      <c r="O169" s="236"/>
      <c r="P169" s="236"/>
      <c r="Q169" s="236"/>
      <c r="R169" s="236"/>
      <c r="S169" s="236"/>
      <c r="T169" s="236"/>
      <c r="U169" s="236"/>
      <c r="V169" s="236"/>
      <c r="W169" s="236"/>
      <c r="X169" s="236"/>
      <c r="Y169" s="236"/>
      <c r="Z169" s="236"/>
      <c r="AA169" s="236"/>
      <c r="AB169" s="236"/>
      <c r="AC169" s="236"/>
      <c r="AD169" s="236"/>
      <c r="AE169" s="236"/>
      <c r="AF169" s="236"/>
      <c r="AG169" s="236"/>
      <c r="AH169" s="236"/>
      <c r="AI169" s="236"/>
    </row>
    <row r="170" spans="1:35" x14ac:dyDescent="0.35">
      <c r="A170" s="236"/>
      <c r="B170" s="236"/>
      <c r="C170" s="236"/>
      <c r="D170" s="236"/>
      <c r="E170" s="236"/>
      <c r="F170" s="236"/>
      <c r="G170" s="236"/>
      <c r="H170" s="236"/>
      <c r="I170" s="236"/>
      <c r="J170" s="236"/>
      <c r="K170" s="236"/>
      <c r="L170" s="236"/>
      <c r="M170" s="236"/>
      <c r="N170" s="236"/>
      <c r="O170" s="236"/>
      <c r="P170" s="236"/>
      <c r="Q170" s="236"/>
      <c r="R170" s="236"/>
      <c r="S170" s="236"/>
      <c r="T170" s="236"/>
      <c r="U170" s="236"/>
      <c r="V170" s="236"/>
      <c r="W170" s="236"/>
      <c r="X170" s="236"/>
      <c r="Y170" s="236"/>
      <c r="Z170" s="236"/>
      <c r="AA170" s="236"/>
      <c r="AB170" s="236"/>
      <c r="AC170" s="236"/>
      <c r="AD170" s="236"/>
      <c r="AE170" s="236"/>
      <c r="AF170" s="236"/>
      <c r="AG170" s="236"/>
      <c r="AH170" s="236"/>
      <c r="AI170" s="236"/>
    </row>
    <row r="171" spans="1:35" x14ac:dyDescent="0.35">
      <c r="A171" s="236"/>
      <c r="B171" s="236"/>
      <c r="C171" s="236"/>
      <c r="D171" s="236"/>
      <c r="E171" s="236"/>
      <c r="F171" s="236"/>
      <c r="G171" s="236"/>
      <c r="H171" s="236"/>
      <c r="I171" s="236"/>
      <c r="J171" s="236"/>
      <c r="K171" s="236"/>
      <c r="L171" s="236"/>
      <c r="M171" s="236"/>
      <c r="N171" s="236"/>
      <c r="O171" s="236"/>
      <c r="P171" s="236"/>
      <c r="Q171" s="236"/>
      <c r="R171" s="236"/>
      <c r="S171" s="236"/>
      <c r="T171" s="236"/>
      <c r="U171" s="236"/>
      <c r="V171" s="236"/>
      <c r="W171" s="236"/>
      <c r="X171" s="236"/>
      <c r="Y171" s="236"/>
      <c r="Z171" s="236"/>
      <c r="AA171" s="236"/>
      <c r="AB171" s="236"/>
      <c r="AC171" s="236"/>
      <c r="AD171" s="236"/>
      <c r="AE171" s="236"/>
      <c r="AF171" s="236"/>
      <c r="AG171" s="236"/>
      <c r="AH171" s="236"/>
      <c r="AI171" s="236"/>
    </row>
    <row r="172" spans="1:35" x14ac:dyDescent="0.35">
      <c r="A172" s="236"/>
      <c r="B172" s="236"/>
      <c r="C172" s="236"/>
      <c r="D172" s="236"/>
      <c r="E172" s="236"/>
      <c r="F172" s="236"/>
      <c r="G172" s="236"/>
      <c r="H172" s="236"/>
      <c r="I172" s="236"/>
      <c r="J172" s="236"/>
      <c r="K172" s="236"/>
      <c r="L172" s="236"/>
      <c r="M172" s="236"/>
      <c r="N172" s="236"/>
      <c r="O172" s="236"/>
      <c r="P172" s="236"/>
      <c r="Q172" s="236"/>
      <c r="R172" s="236"/>
      <c r="S172" s="236"/>
      <c r="T172" s="236"/>
      <c r="U172" s="236"/>
      <c r="V172" s="236"/>
      <c r="W172" s="236"/>
      <c r="X172" s="236"/>
      <c r="Y172" s="236"/>
      <c r="Z172" s="236"/>
      <c r="AA172" s="236"/>
      <c r="AB172" s="236"/>
      <c r="AC172" s="236"/>
      <c r="AD172" s="236"/>
      <c r="AE172" s="236"/>
      <c r="AF172" s="236"/>
      <c r="AG172" s="236"/>
      <c r="AH172" s="236"/>
      <c r="AI172" s="236"/>
    </row>
    <row r="173" spans="1:35" x14ac:dyDescent="0.35">
      <c r="A173" s="236"/>
      <c r="B173" s="236"/>
      <c r="C173" s="236"/>
      <c r="D173" s="236"/>
      <c r="E173" s="236"/>
      <c r="F173" s="236"/>
      <c r="G173" s="236"/>
      <c r="H173" s="236"/>
      <c r="I173" s="236"/>
      <c r="J173" s="236"/>
      <c r="K173" s="236"/>
      <c r="L173" s="236"/>
      <c r="M173" s="236"/>
      <c r="N173" s="236"/>
      <c r="O173" s="236"/>
      <c r="P173" s="236"/>
      <c r="Q173" s="236"/>
      <c r="R173" s="236"/>
      <c r="S173" s="236"/>
      <c r="T173" s="236"/>
      <c r="U173" s="236"/>
      <c r="V173" s="236"/>
      <c r="W173" s="236"/>
      <c r="X173" s="236"/>
      <c r="Y173" s="236"/>
      <c r="Z173" s="236"/>
      <c r="AA173" s="236"/>
      <c r="AB173" s="236"/>
      <c r="AC173" s="236"/>
      <c r="AD173" s="236"/>
      <c r="AE173" s="236"/>
      <c r="AF173" s="236"/>
      <c r="AG173" s="236"/>
      <c r="AH173" s="236"/>
      <c r="AI173" s="236"/>
    </row>
    <row r="174" spans="1:35" x14ac:dyDescent="0.35">
      <c r="A174" s="236"/>
      <c r="B174" s="236"/>
      <c r="C174" s="236"/>
      <c r="D174" s="236"/>
      <c r="E174" s="236"/>
      <c r="F174" s="236"/>
      <c r="G174" s="236"/>
      <c r="H174" s="236"/>
      <c r="I174" s="236"/>
      <c r="J174" s="236"/>
      <c r="K174" s="236"/>
      <c r="L174" s="236"/>
      <c r="M174" s="236"/>
      <c r="N174" s="236"/>
      <c r="O174" s="236"/>
      <c r="P174" s="236"/>
      <c r="Q174" s="236"/>
      <c r="R174" s="236"/>
      <c r="S174" s="236"/>
      <c r="T174" s="236"/>
      <c r="U174" s="236"/>
      <c r="V174" s="236"/>
      <c r="W174" s="236"/>
      <c r="X174" s="236"/>
      <c r="Y174" s="236"/>
      <c r="Z174" s="236"/>
      <c r="AA174" s="236"/>
      <c r="AB174" s="236"/>
      <c r="AC174" s="236"/>
      <c r="AD174" s="236"/>
      <c r="AE174" s="236"/>
      <c r="AF174" s="236"/>
      <c r="AG174" s="236"/>
      <c r="AH174" s="236"/>
      <c r="AI174" s="236"/>
    </row>
    <row r="175" spans="1:35" x14ac:dyDescent="0.35">
      <c r="A175" s="236"/>
      <c r="B175" s="236"/>
      <c r="C175" s="236"/>
      <c r="D175" s="236"/>
      <c r="E175" s="236"/>
      <c r="F175" s="236"/>
      <c r="G175" s="236"/>
      <c r="H175" s="236"/>
      <c r="I175" s="236"/>
      <c r="J175" s="236"/>
      <c r="K175" s="236"/>
      <c r="L175" s="236"/>
      <c r="M175" s="236"/>
      <c r="N175" s="236"/>
      <c r="O175" s="236"/>
      <c r="P175" s="236"/>
      <c r="Q175" s="236"/>
      <c r="R175" s="236"/>
      <c r="S175" s="236"/>
      <c r="T175" s="236"/>
      <c r="U175" s="236"/>
      <c r="V175" s="236"/>
      <c r="W175" s="236"/>
      <c r="X175" s="236"/>
      <c r="Y175" s="236"/>
      <c r="Z175" s="236"/>
      <c r="AA175" s="236"/>
      <c r="AB175" s="236"/>
      <c r="AC175" s="236"/>
      <c r="AD175" s="236"/>
      <c r="AE175" s="236"/>
      <c r="AF175" s="236"/>
      <c r="AG175" s="236"/>
      <c r="AH175" s="236"/>
      <c r="AI175" s="236"/>
    </row>
    <row r="176" spans="1:35" x14ac:dyDescent="0.35">
      <c r="A176" s="236"/>
      <c r="B176" s="236"/>
      <c r="C176" s="236"/>
      <c r="D176" s="236"/>
      <c r="E176" s="236"/>
      <c r="F176" s="236"/>
      <c r="G176" s="236"/>
      <c r="H176" s="236"/>
      <c r="I176" s="236"/>
      <c r="J176" s="236"/>
      <c r="K176" s="236"/>
      <c r="L176" s="236"/>
      <c r="M176" s="236"/>
      <c r="N176" s="236"/>
      <c r="O176" s="236"/>
      <c r="P176" s="236"/>
      <c r="Q176" s="236"/>
      <c r="R176" s="236"/>
      <c r="S176" s="236"/>
      <c r="T176" s="236"/>
      <c r="U176" s="236"/>
      <c r="V176" s="236"/>
      <c r="W176" s="236"/>
      <c r="X176" s="236"/>
      <c r="Y176" s="236"/>
      <c r="Z176" s="236"/>
      <c r="AA176" s="236"/>
      <c r="AB176" s="236"/>
      <c r="AC176" s="236"/>
      <c r="AD176" s="236"/>
      <c r="AE176" s="236"/>
      <c r="AF176" s="236"/>
      <c r="AG176" s="236"/>
      <c r="AH176" s="236"/>
      <c r="AI176" s="236"/>
    </row>
    <row r="177" spans="1:35" x14ac:dyDescent="0.35">
      <c r="A177" s="236"/>
      <c r="B177" s="236"/>
      <c r="C177" s="236"/>
      <c r="D177" s="236"/>
      <c r="E177" s="236"/>
      <c r="F177" s="236"/>
      <c r="G177" s="236"/>
      <c r="H177" s="236"/>
      <c r="I177" s="236"/>
      <c r="J177" s="236"/>
      <c r="K177" s="236"/>
      <c r="L177" s="236"/>
      <c r="M177" s="236"/>
      <c r="N177" s="236"/>
      <c r="O177" s="236"/>
      <c r="P177" s="236"/>
      <c r="Q177" s="236"/>
      <c r="R177" s="236"/>
      <c r="S177" s="236"/>
      <c r="T177" s="236"/>
      <c r="U177" s="236"/>
      <c r="V177" s="236"/>
      <c r="W177" s="236"/>
      <c r="X177" s="236"/>
      <c r="Y177" s="236"/>
      <c r="Z177" s="236"/>
      <c r="AA177" s="236"/>
      <c r="AB177" s="236"/>
      <c r="AC177" s="236"/>
      <c r="AD177" s="236"/>
      <c r="AE177" s="236"/>
      <c r="AF177" s="236"/>
      <c r="AG177" s="236"/>
      <c r="AH177" s="236"/>
      <c r="AI177" s="236"/>
    </row>
    <row r="178" spans="1:35" x14ac:dyDescent="0.35">
      <c r="A178" s="236"/>
      <c r="B178" s="236"/>
      <c r="C178" s="236"/>
      <c r="D178" s="236"/>
      <c r="E178" s="236"/>
      <c r="F178" s="236"/>
      <c r="G178" s="236"/>
      <c r="H178" s="236"/>
      <c r="I178" s="236"/>
      <c r="J178" s="236"/>
      <c r="K178" s="236"/>
      <c r="L178" s="236"/>
      <c r="M178" s="236"/>
      <c r="N178" s="236"/>
      <c r="O178" s="236"/>
      <c r="P178" s="236"/>
      <c r="Q178" s="236"/>
      <c r="R178" s="236"/>
      <c r="S178" s="236"/>
      <c r="T178" s="236"/>
      <c r="U178" s="236"/>
      <c r="V178" s="236"/>
      <c r="W178" s="236"/>
      <c r="X178" s="236"/>
      <c r="Y178" s="236"/>
      <c r="Z178" s="236"/>
      <c r="AA178" s="236"/>
      <c r="AB178" s="236"/>
      <c r="AC178" s="236"/>
      <c r="AD178" s="236"/>
      <c r="AE178" s="236"/>
      <c r="AF178" s="236"/>
      <c r="AG178" s="236"/>
      <c r="AH178" s="236"/>
      <c r="AI178" s="236"/>
    </row>
    <row r="179" spans="1:35" x14ac:dyDescent="0.35">
      <c r="A179" s="236"/>
      <c r="B179" s="236"/>
      <c r="C179" s="236"/>
      <c r="D179" s="236"/>
      <c r="E179" s="236"/>
      <c r="F179" s="236"/>
      <c r="G179" s="236"/>
      <c r="H179" s="236"/>
      <c r="I179" s="236"/>
      <c r="J179" s="236"/>
      <c r="K179" s="236"/>
      <c r="L179" s="236"/>
      <c r="M179" s="236"/>
      <c r="N179" s="236"/>
      <c r="O179" s="236"/>
      <c r="P179" s="236"/>
      <c r="Q179" s="236"/>
      <c r="R179" s="236"/>
      <c r="S179" s="236"/>
      <c r="T179" s="236"/>
      <c r="U179" s="236"/>
      <c r="V179" s="236"/>
      <c r="W179" s="236"/>
      <c r="X179" s="236"/>
      <c r="Y179" s="236"/>
      <c r="Z179" s="236"/>
      <c r="AA179" s="236"/>
      <c r="AB179" s="236"/>
      <c r="AC179" s="236"/>
      <c r="AD179" s="236"/>
      <c r="AE179" s="236"/>
      <c r="AF179" s="236"/>
      <c r="AG179" s="236"/>
      <c r="AH179" s="236"/>
      <c r="AI179" s="236"/>
    </row>
    <row r="180" spans="1:35" x14ac:dyDescent="0.35">
      <c r="A180" s="236"/>
      <c r="B180" s="236"/>
      <c r="C180" s="236"/>
      <c r="D180" s="236"/>
      <c r="E180" s="236"/>
      <c r="F180" s="236"/>
      <c r="G180" s="236"/>
      <c r="H180" s="236"/>
      <c r="I180" s="236"/>
      <c r="J180" s="236"/>
      <c r="K180" s="236"/>
      <c r="L180" s="236"/>
      <c r="M180" s="236"/>
      <c r="N180" s="236"/>
      <c r="O180" s="236"/>
      <c r="P180" s="236"/>
      <c r="Q180" s="236"/>
      <c r="R180" s="236"/>
      <c r="S180" s="236"/>
      <c r="T180" s="236"/>
      <c r="U180" s="236"/>
      <c r="V180" s="236"/>
      <c r="W180" s="236"/>
      <c r="X180" s="236"/>
      <c r="Y180" s="236"/>
      <c r="Z180" s="236"/>
      <c r="AA180" s="236"/>
      <c r="AB180" s="236"/>
      <c r="AC180" s="236"/>
      <c r="AD180" s="236"/>
      <c r="AE180" s="236"/>
      <c r="AF180" s="236"/>
      <c r="AG180" s="236"/>
      <c r="AH180" s="236"/>
      <c r="AI180" s="236"/>
    </row>
    <row r="181" spans="1:35" x14ac:dyDescent="0.35">
      <c r="A181" s="236"/>
      <c r="B181" s="236"/>
      <c r="C181" s="236"/>
      <c r="D181" s="236"/>
      <c r="E181" s="236"/>
      <c r="F181" s="236"/>
      <c r="G181" s="236"/>
      <c r="H181" s="236"/>
      <c r="I181" s="236"/>
      <c r="J181" s="236"/>
      <c r="K181" s="236"/>
      <c r="L181" s="236"/>
      <c r="M181" s="236"/>
      <c r="N181" s="236"/>
      <c r="O181" s="236"/>
      <c r="P181" s="236"/>
      <c r="Q181" s="236"/>
      <c r="R181" s="236"/>
      <c r="S181" s="236"/>
      <c r="T181" s="236"/>
      <c r="U181" s="236"/>
      <c r="V181" s="236"/>
      <c r="W181" s="236"/>
      <c r="X181" s="236"/>
      <c r="Y181" s="236"/>
      <c r="Z181" s="236"/>
      <c r="AA181" s="236"/>
      <c r="AB181" s="236"/>
      <c r="AC181" s="236"/>
      <c r="AD181" s="236"/>
      <c r="AE181" s="236"/>
      <c r="AF181" s="236"/>
      <c r="AG181" s="236"/>
      <c r="AH181" s="236"/>
      <c r="AI181" s="236"/>
    </row>
    <row r="182" spans="1:35" x14ac:dyDescent="0.35">
      <c r="A182" s="236"/>
      <c r="B182" s="236"/>
      <c r="C182" s="236"/>
      <c r="D182" s="236"/>
      <c r="E182" s="236"/>
      <c r="F182" s="236"/>
      <c r="G182" s="236"/>
      <c r="H182" s="236"/>
      <c r="I182" s="236"/>
      <c r="J182" s="236"/>
      <c r="K182" s="236"/>
      <c r="L182" s="236"/>
      <c r="M182" s="236"/>
      <c r="N182" s="236"/>
      <c r="O182" s="236"/>
      <c r="P182" s="236"/>
      <c r="Q182" s="236"/>
      <c r="R182" s="236"/>
      <c r="S182" s="236"/>
      <c r="T182" s="236"/>
      <c r="U182" s="236"/>
      <c r="V182" s="236"/>
      <c r="W182" s="236"/>
      <c r="X182" s="236"/>
      <c r="Y182" s="236"/>
      <c r="Z182" s="236"/>
      <c r="AA182" s="236"/>
      <c r="AB182" s="236"/>
      <c r="AC182" s="236"/>
      <c r="AD182" s="236"/>
      <c r="AE182" s="236"/>
      <c r="AF182" s="236"/>
      <c r="AG182" s="236"/>
      <c r="AH182" s="236"/>
      <c r="AI182" s="236"/>
    </row>
    <row r="183" spans="1:35" x14ac:dyDescent="0.35">
      <c r="A183" s="236"/>
      <c r="B183" s="236"/>
      <c r="C183" s="236"/>
      <c r="D183" s="236"/>
      <c r="E183" s="236"/>
      <c r="F183" s="236"/>
      <c r="G183" s="236"/>
      <c r="H183" s="236"/>
      <c r="I183" s="236"/>
      <c r="J183" s="236"/>
      <c r="K183" s="236"/>
      <c r="L183" s="236"/>
      <c r="M183" s="236"/>
      <c r="N183" s="236"/>
      <c r="O183" s="236"/>
      <c r="P183" s="236"/>
      <c r="Q183" s="236"/>
      <c r="R183" s="236"/>
      <c r="S183" s="236"/>
      <c r="T183" s="236"/>
      <c r="U183" s="236"/>
      <c r="V183" s="236"/>
      <c r="W183" s="236"/>
      <c r="X183" s="236"/>
      <c r="Y183" s="236"/>
      <c r="Z183" s="236"/>
      <c r="AA183" s="236"/>
      <c r="AB183" s="236"/>
      <c r="AC183" s="236"/>
      <c r="AD183" s="236"/>
      <c r="AE183" s="236"/>
      <c r="AF183" s="236"/>
      <c r="AG183" s="236"/>
      <c r="AH183" s="236"/>
      <c r="AI183" s="236"/>
    </row>
    <row r="184" spans="1:35" x14ac:dyDescent="0.35">
      <c r="A184" s="236"/>
      <c r="B184" s="236"/>
      <c r="C184" s="236"/>
      <c r="D184" s="236"/>
      <c r="E184" s="236"/>
      <c r="F184" s="236"/>
      <c r="G184" s="236"/>
      <c r="H184" s="236"/>
      <c r="I184" s="236"/>
      <c r="J184" s="236"/>
      <c r="K184" s="236"/>
      <c r="L184" s="236"/>
      <c r="M184" s="236"/>
      <c r="N184" s="236"/>
      <c r="O184" s="236"/>
      <c r="P184" s="236"/>
      <c r="Q184" s="236"/>
      <c r="R184" s="236"/>
      <c r="S184" s="236"/>
      <c r="T184" s="236"/>
      <c r="U184" s="236"/>
      <c r="V184" s="236"/>
      <c r="W184" s="236"/>
      <c r="X184" s="236"/>
      <c r="Y184" s="236"/>
      <c r="Z184" s="236"/>
      <c r="AA184" s="236"/>
      <c r="AB184" s="236"/>
      <c r="AC184" s="236"/>
      <c r="AD184" s="236"/>
      <c r="AE184" s="236"/>
      <c r="AF184" s="236"/>
      <c r="AG184" s="236"/>
      <c r="AH184" s="236"/>
      <c r="AI184" s="236"/>
    </row>
    <row r="185" spans="1:35" x14ac:dyDescent="0.35">
      <c r="A185" s="236"/>
      <c r="B185" s="236"/>
      <c r="C185" s="236"/>
      <c r="D185" s="236"/>
      <c r="E185" s="236"/>
      <c r="F185" s="236"/>
      <c r="G185" s="236"/>
      <c r="H185" s="236"/>
      <c r="I185" s="236"/>
      <c r="J185" s="236"/>
      <c r="K185" s="236"/>
      <c r="L185" s="236"/>
      <c r="M185" s="236"/>
      <c r="N185" s="236"/>
      <c r="O185" s="236"/>
      <c r="P185" s="236"/>
      <c r="Q185" s="236"/>
      <c r="R185" s="236"/>
      <c r="S185" s="236"/>
      <c r="T185" s="236"/>
      <c r="U185" s="236"/>
      <c r="V185" s="236"/>
      <c r="W185" s="236"/>
      <c r="X185" s="236"/>
      <c r="Y185" s="236"/>
      <c r="Z185" s="236"/>
      <c r="AA185" s="236"/>
      <c r="AB185" s="236"/>
      <c r="AC185" s="236"/>
      <c r="AD185" s="236"/>
      <c r="AE185" s="236"/>
      <c r="AF185" s="236"/>
      <c r="AG185" s="236"/>
      <c r="AH185" s="236"/>
      <c r="AI185" s="236"/>
    </row>
    <row r="186" spans="1:35" x14ac:dyDescent="0.35">
      <c r="A186" s="236"/>
      <c r="B186" s="236"/>
      <c r="C186" s="236"/>
      <c r="D186" s="236"/>
      <c r="E186" s="236"/>
      <c r="F186" s="236"/>
      <c r="G186" s="236"/>
      <c r="H186" s="236"/>
      <c r="I186" s="236"/>
      <c r="J186" s="236"/>
      <c r="K186" s="236"/>
      <c r="L186" s="236"/>
      <c r="M186" s="236"/>
      <c r="N186" s="236"/>
      <c r="O186" s="236"/>
      <c r="P186" s="236"/>
      <c r="Q186" s="236"/>
      <c r="R186" s="236"/>
      <c r="S186" s="236"/>
      <c r="T186" s="236"/>
      <c r="U186" s="236"/>
      <c r="V186" s="236"/>
      <c r="W186" s="236"/>
      <c r="X186" s="236"/>
      <c r="Y186" s="236"/>
      <c r="Z186" s="236"/>
      <c r="AA186" s="236"/>
      <c r="AB186" s="236"/>
      <c r="AC186" s="236"/>
      <c r="AD186" s="236"/>
      <c r="AE186" s="236"/>
      <c r="AF186" s="236"/>
      <c r="AG186" s="236"/>
      <c r="AH186" s="236"/>
      <c r="AI186" s="236"/>
    </row>
    <row r="187" spans="1:35" x14ac:dyDescent="0.35">
      <c r="A187" s="236"/>
      <c r="B187" s="236"/>
      <c r="C187" s="236"/>
      <c r="D187" s="236"/>
      <c r="E187" s="236"/>
      <c r="F187" s="236"/>
      <c r="G187" s="236"/>
      <c r="H187" s="236"/>
      <c r="I187" s="236"/>
      <c r="J187" s="236"/>
      <c r="K187" s="236"/>
      <c r="L187" s="236"/>
      <c r="M187" s="236"/>
      <c r="N187" s="236"/>
      <c r="O187" s="236"/>
      <c r="P187" s="236"/>
      <c r="Q187" s="236"/>
      <c r="R187" s="236"/>
      <c r="S187" s="236"/>
      <c r="T187" s="236"/>
      <c r="U187" s="236"/>
      <c r="V187" s="236"/>
      <c r="W187" s="236"/>
      <c r="X187" s="236"/>
      <c r="Y187" s="236"/>
      <c r="Z187" s="236"/>
      <c r="AA187" s="236"/>
      <c r="AB187" s="236"/>
      <c r="AC187" s="236"/>
      <c r="AD187" s="236"/>
      <c r="AE187" s="236"/>
      <c r="AF187" s="236"/>
      <c r="AG187" s="236"/>
      <c r="AH187" s="236"/>
      <c r="AI187" s="236"/>
    </row>
    <row r="188" spans="1:35" x14ac:dyDescent="0.35">
      <c r="A188" s="236"/>
      <c r="B188" s="236"/>
      <c r="C188" s="236"/>
      <c r="D188" s="236"/>
      <c r="E188" s="236"/>
      <c r="F188" s="236"/>
      <c r="G188" s="236"/>
      <c r="H188" s="236"/>
      <c r="I188" s="236"/>
      <c r="J188" s="236"/>
      <c r="K188" s="236"/>
      <c r="L188" s="236"/>
      <c r="M188" s="236"/>
      <c r="N188" s="236"/>
      <c r="O188" s="236"/>
      <c r="P188" s="236"/>
      <c r="Q188" s="236"/>
      <c r="R188" s="236"/>
      <c r="S188" s="236"/>
      <c r="T188" s="236"/>
      <c r="U188" s="236"/>
      <c r="V188" s="236"/>
      <c r="W188" s="236"/>
      <c r="X188" s="236"/>
      <c r="Y188" s="236"/>
      <c r="Z188" s="236"/>
      <c r="AA188" s="236"/>
      <c r="AB188" s="236"/>
      <c r="AC188" s="236"/>
      <c r="AD188" s="236"/>
      <c r="AE188" s="236"/>
      <c r="AF188" s="236"/>
      <c r="AG188" s="236"/>
      <c r="AH188" s="236"/>
      <c r="AI188" s="236"/>
    </row>
    <row r="189" spans="1:35" x14ac:dyDescent="0.35">
      <c r="A189" s="236"/>
      <c r="B189" s="236"/>
      <c r="C189" s="236"/>
      <c r="D189" s="236"/>
      <c r="E189" s="236"/>
      <c r="F189" s="236"/>
      <c r="G189" s="236"/>
      <c r="H189" s="236"/>
      <c r="I189" s="236"/>
      <c r="J189" s="236"/>
      <c r="K189" s="236"/>
      <c r="L189" s="236"/>
      <c r="M189" s="236"/>
      <c r="N189" s="236"/>
      <c r="O189" s="236"/>
      <c r="P189" s="236"/>
      <c r="Q189" s="236"/>
      <c r="R189" s="236"/>
      <c r="S189" s="236"/>
      <c r="T189" s="236"/>
      <c r="U189" s="236"/>
      <c r="V189" s="236"/>
      <c r="W189" s="236"/>
      <c r="X189" s="236"/>
      <c r="Y189" s="236"/>
      <c r="Z189" s="236"/>
      <c r="AA189" s="236"/>
      <c r="AB189" s="236"/>
      <c r="AC189" s="236"/>
      <c r="AD189" s="236"/>
      <c r="AE189" s="236"/>
      <c r="AF189" s="236"/>
      <c r="AG189" s="236"/>
      <c r="AH189" s="236"/>
      <c r="AI189" s="236"/>
    </row>
    <row r="190" spans="1:35" x14ac:dyDescent="0.35">
      <c r="A190" s="236"/>
      <c r="B190" s="236"/>
      <c r="C190" s="236"/>
      <c r="D190" s="236"/>
      <c r="E190" s="236"/>
      <c r="F190" s="236"/>
      <c r="G190" s="236"/>
      <c r="H190" s="236"/>
      <c r="I190" s="236"/>
      <c r="J190" s="236"/>
      <c r="K190" s="236"/>
      <c r="L190" s="236"/>
      <c r="M190" s="236"/>
      <c r="N190" s="236"/>
      <c r="O190" s="236"/>
      <c r="P190" s="236"/>
      <c r="Q190" s="236"/>
      <c r="R190" s="236"/>
      <c r="S190" s="236"/>
      <c r="T190" s="236"/>
      <c r="U190" s="236"/>
      <c r="V190" s="236"/>
      <c r="W190" s="236"/>
      <c r="X190" s="236"/>
      <c r="Y190" s="236"/>
      <c r="Z190" s="236"/>
      <c r="AA190" s="236"/>
      <c r="AB190" s="236"/>
      <c r="AC190" s="236"/>
      <c r="AD190" s="236"/>
      <c r="AE190" s="236"/>
      <c r="AF190" s="236"/>
      <c r="AG190" s="236"/>
      <c r="AH190" s="236"/>
      <c r="AI190" s="236"/>
    </row>
    <row r="191" spans="1:35" x14ac:dyDescent="0.35">
      <c r="A191" s="236"/>
      <c r="B191" s="236"/>
      <c r="C191" s="236"/>
      <c r="D191" s="236"/>
      <c r="E191" s="236"/>
      <c r="F191" s="236"/>
      <c r="G191" s="236"/>
      <c r="H191" s="236"/>
      <c r="I191" s="236"/>
      <c r="J191" s="236"/>
      <c r="K191" s="236"/>
      <c r="L191" s="236"/>
      <c r="M191" s="236"/>
      <c r="N191" s="236"/>
      <c r="O191" s="236"/>
      <c r="P191" s="236"/>
      <c r="Q191" s="236"/>
      <c r="R191" s="236"/>
      <c r="S191" s="236"/>
      <c r="T191" s="236"/>
      <c r="U191" s="236"/>
      <c r="V191" s="236"/>
      <c r="W191" s="236"/>
      <c r="X191" s="236"/>
      <c r="Y191" s="236"/>
      <c r="Z191" s="236"/>
      <c r="AA191" s="236"/>
      <c r="AB191" s="236"/>
      <c r="AC191" s="236"/>
      <c r="AD191" s="236"/>
      <c r="AE191" s="236"/>
      <c r="AF191" s="236"/>
      <c r="AG191" s="236"/>
      <c r="AH191" s="236"/>
      <c r="AI191" s="236"/>
    </row>
    <row r="192" spans="1:35" x14ac:dyDescent="0.35">
      <c r="A192" s="236"/>
      <c r="B192" s="236"/>
      <c r="C192" s="236"/>
      <c r="D192" s="236"/>
      <c r="E192" s="236"/>
      <c r="F192" s="236"/>
      <c r="G192" s="236"/>
      <c r="H192" s="236"/>
      <c r="I192" s="236"/>
      <c r="J192" s="236"/>
      <c r="K192" s="236"/>
      <c r="L192" s="236"/>
      <c r="M192" s="236"/>
      <c r="N192" s="236"/>
      <c r="O192" s="236"/>
      <c r="P192" s="236"/>
      <c r="Q192" s="236"/>
      <c r="R192" s="236"/>
      <c r="S192" s="236"/>
      <c r="T192" s="236"/>
      <c r="U192" s="236"/>
      <c r="V192" s="236"/>
      <c r="W192" s="236"/>
      <c r="X192" s="236"/>
      <c r="Y192" s="236"/>
      <c r="Z192" s="236"/>
      <c r="AA192" s="236"/>
      <c r="AB192" s="236"/>
      <c r="AC192" s="236"/>
      <c r="AD192" s="236"/>
      <c r="AE192" s="236"/>
      <c r="AF192" s="236"/>
      <c r="AG192" s="236"/>
      <c r="AH192" s="236"/>
      <c r="AI192" s="236"/>
    </row>
    <row r="193" spans="1:35" x14ac:dyDescent="0.35">
      <c r="A193" s="236"/>
      <c r="B193" s="236"/>
      <c r="C193" s="236"/>
      <c r="D193" s="236"/>
      <c r="E193" s="236"/>
      <c r="F193" s="236"/>
      <c r="G193" s="236"/>
      <c r="H193" s="236"/>
      <c r="I193" s="236"/>
      <c r="J193" s="236"/>
      <c r="K193" s="236"/>
      <c r="L193" s="236"/>
      <c r="M193" s="236"/>
      <c r="N193" s="236"/>
      <c r="O193" s="236"/>
      <c r="P193" s="236"/>
      <c r="Q193" s="236"/>
      <c r="R193" s="236"/>
      <c r="S193" s="236"/>
      <c r="T193" s="236"/>
      <c r="U193" s="236"/>
      <c r="V193" s="236"/>
      <c r="W193" s="236"/>
      <c r="X193" s="236"/>
      <c r="Y193" s="236"/>
      <c r="Z193" s="236"/>
      <c r="AA193" s="236"/>
      <c r="AB193" s="236"/>
      <c r="AC193" s="236"/>
      <c r="AD193" s="236"/>
      <c r="AE193" s="236"/>
      <c r="AF193" s="236"/>
      <c r="AG193" s="236"/>
      <c r="AH193" s="236"/>
      <c r="AI193" s="236"/>
    </row>
    <row r="194" spans="1:35" x14ac:dyDescent="0.35">
      <c r="A194" s="236"/>
      <c r="B194" s="236"/>
      <c r="C194" s="236"/>
      <c r="D194" s="236"/>
      <c r="E194" s="236"/>
      <c r="F194" s="236"/>
      <c r="G194" s="236"/>
      <c r="H194" s="236"/>
      <c r="I194" s="236"/>
      <c r="J194" s="236"/>
      <c r="K194" s="236"/>
      <c r="L194" s="236"/>
      <c r="M194" s="236"/>
      <c r="N194" s="236"/>
      <c r="O194" s="236"/>
      <c r="P194" s="236"/>
      <c r="Q194" s="236"/>
      <c r="R194" s="236"/>
      <c r="S194" s="236"/>
      <c r="T194" s="236"/>
      <c r="U194" s="236"/>
      <c r="V194" s="236"/>
      <c r="W194" s="236"/>
      <c r="X194" s="236"/>
      <c r="Y194" s="236"/>
      <c r="Z194" s="236"/>
      <c r="AA194" s="236"/>
      <c r="AB194" s="236"/>
      <c r="AC194" s="236"/>
      <c r="AD194" s="236"/>
      <c r="AE194" s="236"/>
      <c r="AF194" s="236"/>
      <c r="AG194" s="236"/>
      <c r="AH194" s="236"/>
      <c r="AI194" s="236"/>
    </row>
    <row r="195" spans="1:35" x14ac:dyDescent="0.35">
      <c r="A195" s="236"/>
      <c r="B195" s="236"/>
      <c r="C195" s="236"/>
      <c r="D195" s="236"/>
      <c r="E195" s="236"/>
      <c r="F195" s="236"/>
      <c r="G195" s="236"/>
      <c r="H195" s="236"/>
      <c r="I195" s="236"/>
      <c r="J195" s="236"/>
      <c r="K195" s="236"/>
      <c r="L195" s="236"/>
      <c r="M195" s="236"/>
      <c r="N195" s="236"/>
      <c r="O195" s="236"/>
      <c r="P195" s="236"/>
      <c r="Q195" s="236"/>
      <c r="R195" s="236"/>
      <c r="S195" s="236"/>
      <c r="T195" s="236"/>
      <c r="U195" s="236"/>
      <c r="V195" s="236"/>
      <c r="W195" s="236"/>
      <c r="X195" s="236"/>
      <c r="Y195" s="236"/>
      <c r="Z195" s="236"/>
      <c r="AA195" s="236"/>
      <c r="AB195" s="236"/>
      <c r="AC195" s="236"/>
      <c r="AD195" s="236"/>
      <c r="AE195" s="236"/>
      <c r="AF195" s="236"/>
      <c r="AG195" s="236"/>
      <c r="AH195" s="236"/>
      <c r="AI195" s="236"/>
    </row>
    <row r="196" spans="1:35" x14ac:dyDescent="0.35">
      <c r="A196" s="236"/>
      <c r="B196" s="236"/>
      <c r="C196" s="236"/>
      <c r="D196" s="236"/>
      <c r="E196" s="236"/>
      <c r="F196" s="236"/>
      <c r="G196" s="236"/>
      <c r="H196" s="236"/>
      <c r="I196" s="236"/>
      <c r="J196" s="236"/>
      <c r="K196" s="236"/>
      <c r="L196" s="236"/>
      <c r="M196" s="236"/>
      <c r="N196" s="236"/>
      <c r="O196" s="236"/>
      <c r="P196" s="236"/>
      <c r="Q196" s="236"/>
      <c r="R196" s="236"/>
      <c r="S196" s="236"/>
      <c r="T196" s="236"/>
      <c r="U196" s="236"/>
      <c r="V196" s="236"/>
      <c r="W196" s="236"/>
      <c r="X196" s="236"/>
      <c r="Y196" s="236"/>
      <c r="Z196" s="236"/>
      <c r="AA196" s="236"/>
      <c r="AB196" s="236"/>
      <c r="AC196" s="236"/>
      <c r="AD196" s="236"/>
      <c r="AE196" s="236"/>
      <c r="AF196" s="236"/>
      <c r="AG196" s="236"/>
      <c r="AH196" s="236"/>
      <c r="AI196" s="236"/>
    </row>
    <row r="197" spans="1:35" x14ac:dyDescent="0.35">
      <c r="A197" s="236"/>
      <c r="B197" s="236"/>
      <c r="C197" s="236"/>
      <c r="D197" s="236"/>
      <c r="E197" s="236"/>
      <c r="F197" s="236"/>
      <c r="G197" s="236"/>
      <c r="H197" s="236"/>
      <c r="I197" s="236"/>
      <c r="J197" s="236"/>
      <c r="K197" s="236"/>
      <c r="L197" s="236"/>
      <c r="M197" s="236"/>
      <c r="N197" s="236"/>
      <c r="O197" s="236"/>
      <c r="P197" s="236"/>
      <c r="Q197" s="236"/>
      <c r="R197" s="236"/>
      <c r="S197" s="236"/>
      <c r="T197" s="236"/>
      <c r="U197" s="236"/>
      <c r="V197" s="236"/>
      <c r="W197" s="236"/>
      <c r="X197" s="236"/>
      <c r="Y197" s="236"/>
      <c r="Z197" s="236"/>
      <c r="AA197" s="236"/>
      <c r="AB197" s="236"/>
      <c r="AC197" s="236"/>
      <c r="AD197" s="236"/>
      <c r="AE197" s="236"/>
      <c r="AF197" s="236"/>
      <c r="AG197" s="236"/>
      <c r="AH197" s="236"/>
      <c r="AI197" s="236"/>
    </row>
    <row r="198" spans="1:35" x14ac:dyDescent="0.35">
      <c r="A198" s="236"/>
      <c r="B198" s="236"/>
      <c r="C198" s="236"/>
      <c r="D198" s="236"/>
      <c r="E198" s="236"/>
      <c r="F198" s="236"/>
      <c r="G198" s="236"/>
      <c r="H198" s="236"/>
      <c r="I198" s="236"/>
      <c r="J198" s="236"/>
      <c r="K198" s="236"/>
      <c r="L198" s="236"/>
      <c r="M198" s="236"/>
      <c r="N198" s="236"/>
      <c r="O198" s="236"/>
      <c r="P198" s="236"/>
      <c r="Q198" s="236"/>
      <c r="R198" s="236"/>
      <c r="S198" s="236"/>
      <c r="T198" s="236"/>
      <c r="U198" s="236"/>
      <c r="V198" s="236"/>
      <c r="W198" s="236"/>
      <c r="X198" s="236"/>
      <c r="Y198" s="236"/>
      <c r="Z198" s="236"/>
      <c r="AA198" s="236"/>
      <c r="AB198" s="236"/>
      <c r="AC198" s="236"/>
      <c r="AD198" s="236"/>
      <c r="AE198" s="236"/>
      <c r="AF198" s="236"/>
      <c r="AG198" s="236"/>
      <c r="AH198" s="236"/>
      <c r="AI198" s="236"/>
    </row>
    <row r="199" spans="1:35" x14ac:dyDescent="0.35">
      <c r="A199" s="236"/>
      <c r="B199" s="236"/>
      <c r="C199" s="236"/>
      <c r="D199" s="236"/>
      <c r="E199" s="236"/>
      <c r="F199" s="236"/>
      <c r="G199" s="236"/>
      <c r="H199" s="236"/>
      <c r="I199" s="236"/>
      <c r="J199" s="236"/>
      <c r="K199" s="236"/>
      <c r="L199" s="236"/>
      <c r="M199" s="236"/>
      <c r="N199" s="236"/>
      <c r="O199" s="236"/>
      <c r="P199" s="236"/>
      <c r="Q199" s="236"/>
      <c r="R199" s="236"/>
      <c r="S199" s="236"/>
      <c r="T199" s="236"/>
      <c r="U199" s="236"/>
      <c r="V199" s="236"/>
      <c r="W199" s="236"/>
      <c r="X199" s="236"/>
      <c r="Y199" s="236"/>
      <c r="Z199" s="236"/>
      <c r="AA199" s="236"/>
      <c r="AB199" s="236"/>
      <c r="AC199" s="236"/>
      <c r="AD199" s="236"/>
      <c r="AE199" s="236"/>
      <c r="AF199" s="236"/>
      <c r="AG199" s="236"/>
      <c r="AH199" s="236"/>
      <c r="AI199" s="236"/>
    </row>
    <row r="200" spans="1:35" x14ac:dyDescent="0.35">
      <c r="A200" s="236"/>
      <c r="B200" s="236"/>
      <c r="C200" s="236"/>
      <c r="D200" s="236"/>
      <c r="E200" s="236"/>
      <c r="F200" s="236"/>
      <c r="G200" s="236"/>
      <c r="H200" s="236"/>
      <c r="I200" s="236"/>
      <c r="J200" s="236"/>
      <c r="K200" s="236"/>
      <c r="L200" s="236"/>
      <c r="M200" s="236"/>
      <c r="N200" s="236"/>
      <c r="O200" s="236"/>
      <c r="P200" s="236"/>
      <c r="Q200" s="236"/>
      <c r="R200" s="236"/>
      <c r="S200" s="236"/>
      <c r="T200" s="236"/>
      <c r="U200" s="236"/>
      <c r="V200" s="236"/>
      <c r="W200" s="236"/>
      <c r="X200" s="236"/>
      <c r="Y200" s="236"/>
      <c r="Z200" s="236"/>
      <c r="AA200" s="236"/>
      <c r="AB200" s="236"/>
      <c r="AC200" s="236"/>
      <c r="AD200" s="236"/>
      <c r="AE200" s="236"/>
      <c r="AF200" s="236"/>
      <c r="AG200" s="236"/>
      <c r="AH200" s="236"/>
      <c r="AI200" s="236"/>
    </row>
    <row r="201" spans="1:35" x14ac:dyDescent="0.35">
      <c r="A201" s="236"/>
      <c r="B201" s="236"/>
      <c r="C201" s="236"/>
      <c r="D201" s="236"/>
      <c r="E201" s="236"/>
      <c r="F201" s="236"/>
      <c r="G201" s="236"/>
      <c r="H201" s="236"/>
      <c r="I201" s="236"/>
      <c r="J201" s="236"/>
      <c r="K201" s="236"/>
      <c r="L201" s="236"/>
      <c r="M201" s="236"/>
      <c r="N201" s="236"/>
      <c r="O201" s="236"/>
      <c r="P201" s="236"/>
      <c r="Q201" s="236"/>
      <c r="R201" s="236"/>
      <c r="S201" s="236"/>
      <c r="T201" s="236"/>
      <c r="U201" s="236"/>
      <c r="V201" s="236"/>
      <c r="W201" s="236"/>
      <c r="X201" s="236"/>
      <c r="Y201" s="236"/>
      <c r="Z201" s="236"/>
      <c r="AA201" s="236"/>
      <c r="AB201" s="236"/>
      <c r="AC201" s="236"/>
      <c r="AD201" s="236"/>
      <c r="AE201" s="236"/>
      <c r="AF201" s="236"/>
      <c r="AG201" s="236"/>
      <c r="AH201" s="236"/>
      <c r="AI201" s="236"/>
    </row>
    <row r="202" spans="1:35" x14ac:dyDescent="0.35">
      <c r="A202" s="236"/>
      <c r="B202" s="236"/>
      <c r="C202" s="236"/>
      <c r="D202" s="236"/>
      <c r="E202" s="236"/>
      <c r="F202" s="236"/>
      <c r="G202" s="236"/>
      <c r="H202" s="236"/>
      <c r="I202" s="236"/>
      <c r="J202" s="236"/>
      <c r="K202" s="236"/>
      <c r="L202" s="236"/>
      <c r="M202" s="236"/>
      <c r="N202" s="236"/>
      <c r="O202" s="236"/>
      <c r="P202" s="236"/>
      <c r="Q202" s="236"/>
      <c r="R202" s="236"/>
      <c r="S202" s="236"/>
      <c r="T202" s="236"/>
      <c r="U202" s="236"/>
      <c r="V202" s="236"/>
      <c r="W202" s="236"/>
      <c r="X202" s="236"/>
      <c r="Y202" s="236"/>
      <c r="Z202" s="236"/>
      <c r="AA202" s="236"/>
      <c r="AB202" s="236"/>
      <c r="AC202" s="236"/>
      <c r="AD202" s="236"/>
      <c r="AE202" s="236"/>
      <c r="AF202" s="236"/>
      <c r="AG202" s="236"/>
      <c r="AH202" s="236"/>
      <c r="AI202" s="236"/>
    </row>
    <row r="203" spans="1:35" x14ac:dyDescent="0.35">
      <c r="A203" s="236"/>
      <c r="B203" s="236"/>
      <c r="C203" s="236"/>
      <c r="D203" s="236"/>
      <c r="E203" s="236"/>
      <c r="F203" s="236"/>
      <c r="G203" s="236"/>
      <c r="H203" s="236"/>
      <c r="I203" s="236"/>
      <c r="J203" s="236"/>
      <c r="K203" s="236"/>
      <c r="L203" s="236"/>
      <c r="M203" s="236"/>
      <c r="N203" s="236"/>
      <c r="O203" s="236"/>
      <c r="P203" s="236"/>
      <c r="Q203" s="236"/>
      <c r="R203" s="236"/>
      <c r="S203" s="236"/>
      <c r="T203" s="236"/>
      <c r="U203" s="236"/>
      <c r="V203" s="236"/>
      <c r="W203" s="236"/>
      <c r="X203" s="236"/>
      <c r="Y203" s="236"/>
      <c r="Z203" s="236"/>
      <c r="AA203" s="236"/>
      <c r="AB203" s="236"/>
      <c r="AC203" s="236"/>
      <c r="AD203" s="236"/>
      <c r="AE203" s="236"/>
      <c r="AF203" s="236"/>
      <c r="AG203" s="236"/>
      <c r="AH203" s="236"/>
      <c r="AI203" s="236"/>
    </row>
    <row r="204" spans="1:35" x14ac:dyDescent="0.35">
      <c r="A204" s="236"/>
      <c r="B204" s="236"/>
      <c r="C204" s="236"/>
      <c r="D204" s="236"/>
      <c r="E204" s="236"/>
      <c r="F204" s="236"/>
      <c r="G204" s="236"/>
      <c r="H204" s="236"/>
      <c r="I204" s="236"/>
      <c r="J204" s="236"/>
      <c r="K204" s="236"/>
      <c r="L204" s="236"/>
      <c r="M204" s="236"/>
      <c r="N204" s="236"/>
      <c r="O204" s="236"/>
      <c r="P204" s="236"/>
      <c r="Q204" s="236"/>
      <c r="R204" s="236"/>
      <c r="S204" s="236"/>
      <c r="T204" s="236"/>
      <c r="U204" s="236"/>
      <c r="V204" s="236"/>
      <c r="W204" s="236"/>
      <c r="X204" s="236"/>
      <c r="Y204" s="236"/>
      <c r="Z204" s="236"/>
      <c r="AA204" s="236"/>
      <c r="AB204" s="236"/>
      <c r="AC204" s="236"/>
      <c r="AD204" s="236"/>
      <c r="AE204" s="236"/>
      <c r="AF204" s="236"/>
      <c r="AG204" s="236"/>
      <c r="AH204" s="236"/>
      <c r="AI204" s="236"/>
    </row>
    <row r="205" spans="1:35" x14ac:dyDescent="0.35">
      <c r="A205" s="236"/>
      <c r="B205" s="236"/>
      <c r="C205" s="236"/>
      <c r="D205" s="236"/>
      <c r="E205" s="236"/>
      <c r="F205" s="236"/>
      <c r="G205" s="236"/>
      <c r="H205" s="236"/>
      <c r="I205" s="236"/>
      <c r="J205" s="236"/>
      <c r="K205" s="236"/>
      <c r="L205" s="236"/>
      <c r="M205" s="236"/>
      <c r="N205" s="236"/>
      <c r="O205" s="236"/>
      <c r="P205" s="236"/>
      <c r="Q205" s="236"/>
      <c r="R205" s="236"/>
      <c r="S205" s="236"/>
      <c r="T205" s="236"/>
      <c r="U205" s="236"/>
      <c r="V205" s="236"/>
      <c r="W205" s="236"/>
      <c r="X205" s="236"/>
      <c r="Y205" s="236"/>
      <c r="Z205" s="236"/>
      <c r="AA205" s="236"/>
      <c r="AB205" s="236"/>
      <c r="AC205" s="236"/>
      <c r="AD205" s="236"/>
      <c r="AE205" s="236"/>
      <c r="AF205" s="236"/>
      <c r="AG205" s="236"/>
      <c r="AH205" s="236"/>
      <c r="AI205" s="236"/>
    </row>
    <row r="206" spans="1:35" x14ac:dyDescent="0.35">
      <c r="A206" s="236"/>
      <c r="B206" s="236"/>
      <c r="C206" s="236"/>
      <c r="D206" s="236"/>
      <c r="E206" s="236"/>
      <c r="F206" s="236"/>
      <c r="G206" s="236"/>
      <c r="H206" s="236"/>
      <c r="I206" s="236"/>
      <c r="J206" s="236"/>
      <c r="K206" s="236"/>
      <c r="L206" s="236"/>
      <c r="M206" s="236"/>
      <c r="N206" s="236"/>
      <c r="O206" s="236"/>
      <c r="P206" s="236"/>
      <c r="Q206" s="236"/>
      <c r="R206" s="236"/>
      <c r="S206" s="236"/>
      <c r="T206" s="236"/>
      <c r="U206" s="236"/>
      <c r="V206" s="236"/>
      <c r="W206" s="236"/>
      <c r="X206" s="236"/>
      <c r="Y206" s="236"/>
      <c r="Z206" s="236"/>
      <c r="AA206" s="236"/>
      <c r="AB206" s="236"/>
      <c r="AC206" s="236"/>
      <c r="AD206" s="236"/>
      <c r="AE206" s="236"/>
      <c r="AF206" s="236"/>
      <c r="AG206" s="236"/>
      <c r="AH206" s="236"/>
      <c r="AI206" s="236"/>
    </row>
    <row r="207" spans="1:35" x14ac:dyDescent="0.35">
      <c r="A207" s="236"/>
      <c r="B207" s="236"/>
      <c r="C207" s="236"/>
      <c r="D207" s="236"/>
      <c r="E207" s="236"/>
      <c r="F207" s="236"/>
      <c r="G207" s="236"/>
      <c r="H207" s="236"/>
      <c r="I207" s="236"/>
      <c r="J207" s="236"/>
      <c r="K207" s="236"/>
      <c r="L207" s="236"/>
      <c r="M207" s="236"/>
      <c r="N207" s="236"/>
      <c r="O207" s="236"/>
      <c r="P207" s="236"/>
      <c r="Q207" s="236"/>
      <c r="R207" s="236"/>
      <c r="S207" s="236"/>
      <c r="T207" s="236"/>
      <c r="U207" s="236"/>
      <c r="V207" s="236"/>
      <c r="W207" s="236"/>
      <c r="X207" s="236"/>
      <c r="Y207" s="236"/>
      <c r="Z207" s="236"/>
      <c r="AA207" s="236"/>
      <c r="AB207" s="236"/>
      <c r="AC207" s="236"/>
      <c r="AD207" s="236"/>
      <c r="AE207" s="236"/>
      <c r="AF207" s="236"/>
      <c r="AG207" s="236"/>
      <c r="AH207" s="236"/>
      <c r="AI207" s="236"/>
    </row>
    <row r="208" spans="1:35" x14ac:dyDescent="0.35">
      <c r="A208" s="236"/>
      <c r="B208" s="236"/>
      <c r="C208" s="236"/>
      <c r="D208" s="236"/>
      <c r="E208" s="236"/>
      <c r="F208" s="236"/>
      <c r="G208" s="236"/>
      <c r="H208" s="236"/>
      <c r="I208" s="236"/>
      <c r="J208" s="236"/>
      <c r="K208" s="236"/>
      <c r="L208" s="236"/>
      <c r="M208" s="236"/>
      <c r="N208" s="236"/>
      <c r="O208" s="236"/>
      <c r="P208" s="236"/>
      <c r="Q208" s="236"/>
      <c r="R208" s="236"/>
      <c r="S208" s="236"/>
      <c r="T208" s="236"/>
      <c r="U208" s="236"/>
      <c r="V208" s="236"/>
      <c r="W208" s="236"/>
      <c r="X208" s="236"/>
      <c r="Y208" s="236"/>
      <c r="Z208" s="236"/>
      <c r="AA208" s="236"/>
      <c r="AB208" s="236"/>
      <c r="AC208" s="236"/>
      <c r="AD208" s="236"/>
      <c r="AE208" s="236"/>
      <c r="AF208" s="236"/>
      <c r="AG208" s="236"/>
      <c r="AH208" s="236"/>
      <c r="AI208" s="236"/>
    </row>
    <row r="209" spans="1:35" x14ac:dyDescent="0.35">
      <c r="A209" s="236"/>
      <c r="B209" s="236"/>
      <c r="C209" s="236"/>
      <c r="D209" s="236"/>
      <c r="E209" s="236"/>
      <c r="F209" s="236"/>
      <c r="G209" s="236"/>
      <c r="H209" s="236"/>
      <c r="I209" s="236"/>
      <c r="J209" s="236"/>
      <c r="K209" s="236"/>
      <c r="L209" s="236"/>
      <c r="M209" s="236"/>
      <c r="N209" s="236"/>
      <c r="O209" s="236"/>
      <c r="P209" s="236"/>
      <c r="Q209" s="236"/>
      <c r="R209" s="236"/>
      <c r="S209" s="236"/>
      <c r="T209" s="236"/>
      <c r="U209" s="236"/>
      <c r="V209" s="236"/>
      <c r="W209" s="236"/>
      <c r="X209" s="236"/>
      <c r="Y209" s="236"/>
      <c r="Z209" s="236"/>
      <c r="AA209" s="236"/>
      <c r="AB209" s="236"/>
      <c r="AC209" s="236"/>
      <c r="AD209" s="236"/>
      <c r="AE209" s="236"/>
      <c r="AF209" s="236"/>
      <c r="AG209" s="236"/>
      <c r="AH209" s="236"/>
      <c r="AI209" s="236"/>
    </row>
    <row r="210" spans="1:35" x14ac:dyDescent="0.35">
      <c r="A210" s="236"/>
      <c r="B210" s="236"/>
      <c r="C210" s="236"/>
      <c r="D210" s="236"/>
      <c r="E210" s="236"/>
      <c r="F210" s="236"/>
      <c r="G210" s="236"/>
      <c r="H210" s="236"/>
      <c r="I210" s="236"/>
      <c r="J210" s="236"/>
      <c r="K210" s="236"/>
      <c r="L210" s="236"/>
      <c r="M210" s="236"/>
      <c r="N210" s="236"/>
      <c r="O210" s="236"/>
      <c r="P210" s="236"/>
      <c r="Q210" s="236"/>
      <c r="R210" s="236"/>
      <c r="S210" s="236"/>
      <c r="T210" s="236"/>
      <c r="U210" s="236"/>
      <c r="V210" s="236"/>
      <c r="W210" s="236"/>
      <c r="X210" s="236"/>
      <c r="Y210" s="236"/>
      <c r="Z210" s="236"/>
      <c r="AA210" s="236"/>
      <c r="AB210" s="236"/>
      <c r="AC210" s="236"/>
      <c r="AD210" s="236"/>
      <c r="AE210" s="236"/>
      <c r="AF210" s="236"/>
      <c r="AG210" s="236"/>
      <c r="AH210" s="236"/>
      <c r="AI210" s="236"/>
    </row>
    <row r="211" spans="1:35" x14ac:dyDescent="0.35">
      <c r="A211" s="236"/>
      <c r="B211" s="236"/>
      <c r="C211" s="236"/>
      <c r="D211" s="236"/>
      <c r="E211" s="236"/>
      <c r="F211" s="236"/>
      <c r="G211" s="236"/>
      <c r="H211" s="236"/>
      <c r="I211" s="236"/>
      <c r="J211" s="236"/>
      <c r="K211" s="236"/>
      <c r="L211" s="236"/>
      <c r="M211" s="236"/>
      <c r="N211" s="236"/>
      <c r="O211" s="236"/>
      <c r="P211" s="236"/>
      <c r="Q211" s="236"/>
      <c r="R211" s="236"/>
      <c r="S211" s="236"/>
      <c r="T211" s="236"/>
      <c r="U211" s="236"/>
      <c r="V211" s="236"/>
      <c r="W211" s="236"/>
      <c r="X211" s="236"/>
      <c r="Y211" s="236"/>
      <c r="Z211" s="236"/>
      <c r="AA211" s="236"/>
      <c r="AB211" s="236"/>
      <c r="AC211" s="236"/>
      <c r="AD211" s="236"/>
      <c r="AE211" s="236"/>
      <c r="AF211" s="236"/>
      <c r="AG211" s="236"/>
      <c r="AH211" s="236"/>
      <c r="AI211" s="236"/>
    </row>
  </sheetData>
  <mergeCells count="37">
    <mergeCell ref="A44:E44"/>
    <mergeCell ref="F18:I18"/>
    <mergeCell ref="F21:I25"/>
    <mergeCell ref="A25:E25"/>
    <mergeCell ref="A21:E21"/>
    <mergeCell ref="J1:J6"/>
    <mergeCell ref="J14:J25"/>
    <mergeCell ref="J38:J44"/>
    <mergeCell ref="A16:E16"/>
    <mergeCell ref="A18:E18"/>
    <mergeCell ref="A1:I1"/>
    <mergeCell ref="A6:I6"/>
    <mergeCell ref="F2:I5"/>
    <mergeCell ref="A14:I15"/>
    <mergeCell ref="A17:I17"/>
    <mergeCell ref="F16:I16"/>
    <mergeCell ref="A2:E2"/>
    <mergeCell ref="A19:I20"/>
    <mergeCell ref="A40:I40"/>
    <mergeCell ref="A38:I39"/>
    <mergeCell ref="F41:I44"/>
    <mergeCell ref="A117:J117"/>
    <mergeCell ref="A53:J54"/>
    <mergeCell ref="F55:J58"/>
    <mergeCell ref="A59:J59"/>
    <mergeCell ref="A70:J70"/>
    <mergeCell ref="F71:J75"/>
    <mergeCell ref="A75:E75"/>
    <mergeCell ref="A113:E113"/>
    <mergeCell ref="A88:J89"/>
    <mergeCell ref="F90:J93"/>
    <mergeCell ref="A94:J94"/>
    <mergeCell ref="A110:J112"/>
    <mergeCell ref="F113:J116"/>
    <mergeCell ref="A71:E71"/>
    <mergeCell ref="A90:E90"/>
    <mergeCell ref="A55:E55"/>
  </mergeCells>
  <phoneticPr fontId="17" type="noConversion"/>
  <conditionalFormatting sqref="C122">
    <cfRule type="cellIs" priority="1" operator="equal">
      <formula>"Optimizing"</formula>
    </cfRule>
    <cfRule type="containsText" priority="2" operator="containsText" text="Managed">
      <formula>NOT(ISERROR(SEARCH("Managed",C122)))</formula>
    </cfRule>
    <cfRule type="containsText" priority="3" operator="containsText" text="Established">
      <formula>NOT(ISERROR(SEARCH("Established",C122)))</formula>
    </cfRule>
    <cfRule type="cellIs" priority="4" operator="equal">
      <formula>"Defined"</formula>
    </cfRule>
    <cfRule type="cellIs" priority="5" operator="equal">
      <formula>"Initiated"</formula>
    </cfRule>
    <cfRule type="cellIs" dxfId="10" priority="6" operator="equal">
      <formula>"Not Started"</formula>
    </cfRule>
  </conditionalFormatting>
  <conditionalFormatting sqref="D77">
    <cfRule type="cellIs" dxfId="9" priority="7" operator="equal">
      <formula>"Not Started"</formula>
    </cfRule>
  </conditionalFormatting>
  <dataValidations count="3">
    <dataValidation type="list" allowBlank="1" showInputMessage="1" showErrorMessage="1" sqref="B4 C8:C13 B23 C27:C37 B42 B57 C61:C69 B73 C77:C87 B92 C96:C109 B115 C119:C122 K8:K13 K27:K37 K46:K52 K61:K69 K77:K87 K96:K109 K119:K122 C46:C47 C49:C52" xr:uid="{6E46A283-1803-44DC-9B67-154B700127D6}">
      <formula1>Statuses</formula1>
    </dataValidation>
    <dataValidation type="list" allowBlank="1" showInputMessage="1" showErrorMessage="1" sqref="I119" xr:uid="{DF84E25B-2F7A-4CD5-9E66-232997751A8F}">
      <formula1>stakeholder_names</formula1>
    </dataValidation>
    <dataValidation type="list" allowBlank="1" showInputMessage="1" showErrorMessage="1" sqref="I61:I69 I77:I87 I96:I109 I119:I122 I8:I13 I27:I37 I46:I52 I96:I109 I120:I122" xr:uid="{E0150E0B-9F81-4F84-8B78-1B07FEC5F43C}">
      <formula1>titles</formula1>
    </dataValidation>
  </dataValidations>
  <pageMargins left="0.7" right="0.7" top="0.75" bottom="0.75" header="0.3" footer="0.3"/>
  <pageSetup orientation="portrait" r:id="rId1"/>
  <tableParts count="14">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46"/>
  <sheetViews>
    <sheetView topLeftCell="H94" zoomScale="97" zoomScaleNormal="97" workbookViewId="0">
      <selection activeCell="L123" sqref="L123"/>
    </sheetView>
  </sheetViews>
  <sheetFormatPr defaultRowHeight="14.5" x14ac:dyDescent="0.35"/>
  <cols>
    <col min="1" max="1" width="34.81640625" customWidth="1"/>
    <col min="2" max="2" width="43.81640625" customWidth="1"/>
    <col min="3" max="3" width="45.26953125" customWidth="1"/>
    <col min="4" max="4" width="17.54296875" customWidth="1"/>
    <col min="5" max="5" width="28.81640625" customWidth="1"/>
    <col min="6" max="6" width="21.54296875" customWidth="1"/>
    <col min="7" max="7" width="26.81640625" customWidth="1"/>
    <col min="8" max="8" width="27.7265625" customWidth="1"/>
    <col min="9" max="9" width="30.453125" customWidth="1"/>
    <col min="10" max="10" width="27.54296875" customWidth="1"/>
    <col min="11" max="11" width="21.7265625" customWidth="1"/>
    <col min="12" max="12" width="24.453125" customWidth="1"/>
  </cols>
  <sheetData>
    <row r="1" spans="1:30" x14ac:dyDescent="0.35">
      <c r="A1" s="257"/>
      <c r="B1" s="257"/>
      <c r="C1" s="257"/>
      <c r="D1" s="257"/>
      <c r="E1" s="257"/>
      <c r="F1" s="257"/>
      <c r="G1" s="257"/>
      <c r="H1" s="257"/>
      <c r="I1" s="257"/>
      <c r="J1" s="257"/>
      <c r="K1" s="257"/>
      <c r="L1" s="236"/>
      <c r="M1" s="236"/>
      <c r="N1" s="236"/>
      <c r="O1" s="236"/>
      <c r="P1" s="236"/>
      <c r="Q1" s="236"/>
      <c r="R1" s="236"/>
      <c r="S1" s="236"/>
      <c r="T1" s="236"/>
      <c r="U1" s="236"/>
      <c r="V1" s="236"/>
      <c r="W1" s="236"/>
      <c r="X1" s="236"/>
      <c r="Y1" s="236"/>
      <c r="Z1" s="236"/>
      <c r="AA1" s="236"/>
      <c r="AB1" s="236"/>
    </row>
    <row r="2" spans="1:30" x14ac:dyDescent="0.35">
      <c r="A2" s="257"/>
      <c r="B2" s="257"/>
      <c r="C2" s="257"/>
      <c r="D2" s="257"/>
      <c r="E2" s="257"/>
      <c r="F2" s="257"/>
      <c r="G2" s="257"/>
      <c r="H2" s="257"/>
      <c r="I2" s="257"/>
      <c r="J2" s="257"/>
      <c r="K2" s="257"/>
      <c r="L2" s="236"/>
      <c r="M2" s="236"/>
      <c r="N2" s="236"/>
      <c r="O2" s="236"/>
      <c r="P2" s="236"/>
      <c r="Q2" s="236"/>
      <c r="R2" s="236"/>
      <c r="S2" s="236"/>
      <c r="T2" s="236"/>
      <c r="U2" s="236"/>
      <c r="V2" s="236"/>
      <c r="W2" s="236"/>
      <c r="X2" s="236"/>
      <c r="Y2" s="236"/>
      <c r="Z2" s="236"/>
      <c r="AA2" s="236"/>
      <c r="AB2" s="236"/>
    </row>
    <row r="3" spans="1:30" ht="15.65" customHeight="1" thickBot="1" x14ac:dyDescent="0.4">
      <c r="A3" s="257"/>
      <c r="B3" s="257"/>
      <c r="C3" s="257"/>
      <c r="D3" s="257"/>
      <c r="E3" s="257"/>
      <c r="F3" s="257"/>
      <c r="G3" s="257"/>
      <c r="H3" s="257"/>
      <c r="I3" s="257"/>
      <c r="J3" s="257"/>
      <c r="K3" s="257"/>
      <c r="L3" s="236"/>
      <c r="M3" s="236"/>
      <c r="N3" s="236"/>
      <c r="O3" s="236"/>
      <c r="P3" s="236"/>
      <c r="Q3" s="236"/>
      <c r="R3" s="236"/>
      <c r="S3" s="236"/>
      <c r="T3" s="236"/>
      <c r="U3" s="236"/>
      <c r="V3" s="236"/>
      <c r="W3" s="236"/>
      <c r="X3" s="236"/>
      <c r="Y3" s="236"/>
      <c r="Z3" s="236"/>
      <c r="AA3" s="236"/>
      <c r="AB3" s="236"/>
    </row>
    <row r="4" spans="1:30" ht="37.5" customHeight="1" thickBot="1" x14ac:dyDescent="0.75">
      <c r="A4" s="258" t="s">
        <v>358</v>
      </c>
      <c r="B4" s="271"/>
      <c r="C4" s="271"/>
      <c r="D4" s="271"/>
      <c r="E4" s="272"/>
      <c r="F4" s="257"/>
      <c r="G4" s="257"/>
      <c r="H4" s="257"/>
      <c r="I4" s="257"/>
      <c r="J4" s="257"/>
      <c r="K4" s="236"/>
      <c r="L4" s="236"/>
      <c r="M4" s="236"/>
      <c r="N4" s="236"/>
      <c r="O4" s="236"/>
      <c r="P4" s="236"/>
      <c r="Q4" s="236"/>
      <c r="R4" s="236"/>
      <c r="S4" s="236"/>
      <c r="T4" s="236"/>
      <c r="U4" s="236"/>
      <c r="V4" s="236"/>
      <c r="W4" s="236"/>
      <c r="X4" s="236"/>
      <c r="Y4" s="236"/>
      <c r="Z4" s="236"/>
      <c r="AA4" s="236"/>
      <c r="AB4" s="236"/>
    </row>
    <row r="5" spans="1:30" s="4" customFormat="1" ht="19" thickBot="1" x14ac:dyDescent="0.5">
      <c r="A5" s="4" t="s">
        <v>223</v>
      </c>
      <c r="B5" s="4" t="s">
        <v>224</v>
      </c>
      <c r="C5" s="4" t="s">
        <v>225</v>
      </c>
      <c r="D5" s="4" t="s">
        <v>226</v>
      </c>
      <c r="E5" s="4" t="s">
        <v>227</v>
      </c>
      <c r="F5" s="257"/>
      <c r="G5" s="257"/>
      <c r="H5" s="257"/>
      <c r="I5" s="257"/>
      <c r="J5" s="257"/>
      <c r="K5" s="238"/>
      <c r="L5" s="238"/>
      <c r="M5" s="238"/>
      <c r="N5" s="238"/>
      <c r="O5" s="238"/>
      <c r="P5" s="238"/>
      <c r="Q5" s="238"/>
      <c r="R5" s="238"/>
      <c r="S5" s="238"/>
      <c r="T5" s="238"/>
      <c r="U5" s="238"/>
      <c r="V5" s="238"/>
      <c r="W5" s="238"/>
      <c r="X5" s="238"/>
      <c r="Y5" s="238"/>
      <c r="Z5" s="238"/>
      <c r="AA5" s="238"/>
      <c r="AB5" s="238"/>
    </row>
    <row r="6" spans="1:30" ht="71.5" customHeight="1" x14ac:dyDescent="0.35">
      <c r="A6" s="6" t="s">
        <v>359</v>
      </c>
      <c r="B6" s="7" t="s">
        <v>33</v>
      </c>
      <c r="C6" s="7"/>
      <c r="D6" s="7"/>
      <c r="E6" s="8"/>
      <c r="F6" s="257"/>
      <c r="G6" s="257"/>
      <c r="H6" s="257"/>
      <c r="I6" s="257"/>
      <c r="J6" s="257"/>
      <c r="K6" s="236"/>
      <c r="L6" s="236"/>
      <c r="M6" s="236"/>
      <c r="N6" s="236"/>
      <c r="O6" s="236"/>
      <c r="P6" s="236"/>
      <c r="Q6" s="236"/>
      <c r="R6" s="236"/>
      <c r="S6" s="236"/>
      <c r="T6" s="236"/>
      <c r="U6" s="236"/>
      <c r="V6" s="236"/>
      <c r="W6" s="236"/>
      <c r="X6" s="236"/>
      <c r="Y6" s="236"/>
      <c r="Z6" s="236"/>
      <c r="AA6" s="236"/>
      <c r="AB6" s="236"/>
    </row>
    <row r="7" spans="1:30" ht="54" customHeight="1" thickBot="1" x14ac:dyDescent="0.4">
      <c r="A7" s="23" t="s">
        <v>227</v>
      </c>
      <c r="B7" s="10"/>
      <c r="C7" s="10"/>
      <c r="D7" s="10"/>
      <c r="E7" s="11"/>
      <c r="F7" s="257"/>
      <c r="G7" s="257"/>
      <c r="H7" s="257"/>
      <c r="I7" s="257"/>
      <c r="J7" s="257"/>
      <c r="K7" s="236"/>
      <c r="L7" s="236"/>
      <c r="M7" s="236"/>
      <c r="N7" s="236"/>
      <c r="O7" s="236"/>
      <c r="P7" s="236"/>
      <c r="Q7" s="236"/>
      <c r="R7" s="236"/>
      <c r="S7" s="236"/>
      <c r="T7" s="236"/>
      <c r="U7" s="236"/>
      <c r="V7" s="236"/>
      <c r="W7" s="236"/>
      <c r="X7" s="236"/>
      <c r="Y7" s="236"/>
      <c r="Z7" s="236"/>
      <c r="AA7" s="236"/>
      <c r="AB7" s="236"/>
    </row>
    <row r="8" spans="1:30" x14ac:dyDescent="0.35">
      <c r="A8" s="257"/>
      <c r="B8" s="257"/>
      <c r="C8" s="257"/>
      <c r="D8" s="257"/>
      <c r="E8" s="257"/>
      <c r="F8" s="257"/>
      <c r="G8" s="257"/>
      <c r="H8" s="257"/>
      <c r="I8" s="257"/>
      <c r="J8" s="257"/>
      <c r="K8" s="236"/>
      <c r="L8" s="236"/>
      <c r="M8" s="236"/>
      <c r="N8" s="236"/>
      <c r="O8" s="236"/>
      <c r="P8" s="236"/>
      <c r="Q8" s="236"/>
      <c r="R8" s="236"/>
      <c r="S8" s="236"/>
      <c r="T8" s="236"/>
      <c r="U8" s="236"/>
      <c r="V8" s="236"/>
      <c r="W8" s="236"/>
      <c r="X8" s="236"/>
      <c r="Y8" s="236"/>
      <c r="Z8" s="236"/>
      <c r="AA8" s="236"/>
      <c r="AB8" s="236"/>
    </row>
    <row r="9" spans="1:30" s="4" customFormat="1" ht="19" thickBot="1" x14ac:dyDescent="0.5">
      <c r="A9" s="4" t="s">
        <v>3</v>
      </c>
      <c r="B9" s="4" t="s">
        <v>4</v>
      </c>
      <c r="C9" s="4" t="s">
        <v>230</v>
      </c>
      <c r="D9" s="4" t="s">
        <v>231</v>
      </c>
      <c r="E9" s="4" t="s">
        <v>232</v>
      </c>
      <c r="F9" s="4" t="s">
        <v>233</v>
      </c>
      <c r="G9" s="4" t="s">
        <v>234</v>
      </c>
      <c r="H9" s="4" t="s">
        <v>235</v>
      </c>
      <c r="I9" s="4" t="s">
        <v>236</v>
      </c>
      <c r="J9" s="4" t="s">
        <v>237</v>
      </c>
      <c r="K9" s="4" t="s">
        <v>238</v>
      </c>
      <c r="L9" s="4" t="s">
        <v>6</v>
      </c>
      <c r="M9" s="238"/>
      <c r="N9" s="238"/>
      <c r="O9" s="238"/>
      <c r="P9" s="238"/>
      <c r="Q9" s="238"/>
      <c r="R9" s="238"/>
      <c r="S9" s="238"/>
      <c r="T9" s="238"/>
      <c r="U9" s="238"/>
      <c r="V9" s="238"/>
      <c r="W9" s="238"/>
      <c r="X9" s="238"/>
      <c r="Y9" s="238"/>
      <c r="Z9" s="238"/>
      <c r="AA9" s="238"/>
      <c r="AB9" s="238"/>
      <c r="AC9" s="238"/>
      <c r="AD9" s="238"/>
    </row>
    <row r="10" spans="1:30" ht="48" customHeight="1" x14ac:dyDescent="0.45">
      <c r="A10" s="40" t="s">
        <v>360</v>
      </c>
      <c r="B10" s="94" t="s">
        <v>172</v>
      </c>
      <c r="C10" s="87"/>
      <c r="D10" s="7"/>
      <c r="E10" s="7"/>
      <c r="F10" s="7"/>
      <c r="G10" s="7"/>
      <c r="H10" s="7"/>
      <c r="I10" s="7" t="s">
        <v>173</v>
      </c>
      <c r="J10" s="7"/>
      <c r="K10" s="64" t="s">
        <v>66</v>
      </c>
      <c r="L10" s="93" t="s">
        <v>174</v>
      </c>
      <c r="M10" s="236"/>
      <c r="N10" s="236"/>
      <c r="O10" s="236"/>
      <c r="P10" s="236"/>
      <c r="Q10" s="236"/>
      <c r="R10" s="236"/>
      <c r="S10" s="236"/>
      <c r="T10" s="236"/>
      <c r="U10" s="236"/>
      <c r="V10" s="236"/>
      <c r="W10" s="236"/>
      <c r="X10" s="236"/>
      <c r="Y10" s="236"/>
      <c r="Z10" s="236"/>
      <c r="AA10" s="236"/>
      <c r="AB10" s="236"/>
      <c r="AC10" s="236"/>
      <c r="AD10" s="236"/>
    </row>
    <row r="11" spans="1:30" ht="62" x14ac:dyDescent="0.45">
      <c r="A11" s="41" t="s">
        <v>361</v>
      </c>
      <c r="B11" s="95" t="s">
        <v>60</v>
      </c>
      <c r="C11" s="88" t="s">
        <v>15</v>
      </c>
      <c r="I11" t="s">
        <v>61</v>
      </c>
      <c r="K11" s="4" t="s">
        <v>33</v>
      </c>
      <c r="L11" s="61" t="s">
        <v>62</v>
      </c>
      <c r="M11" s="236"/>
      <c r="N11" s="236"/>
      <c r="O11" s="236"/>
      <c r="P11" s="236"/>
      <c r="Q11" s="236"/>
      <c r="R11" s="236"/>
      <c r="S11" s="236"/>
      <c r="T11" s="236"/>
      <c r="U11" s="236"/>
      <c r="V11" s="236"/>
      <c r="W11" s="236"/>
      <c r="X11" s="236"/>
      <c r="Y11" s="236"/>
      <c r="Z11" s="236"/>
      <c r="AA11" s="236"/>
      <c r="AB11" s="236"/>
      <c r="AC11" s="236"/>
      <c r="AD11" s="236"/>
    </row>
    <row r="12" spans="1:30" s="2" customFormat="1" ht="21" x14ac:dyDescent="0.45">
      <c r="A12" s="127" t="s">
        <v>242</v>
      </c>
      <c r="B12" s="108" t="s">
        <v>240</v>
      </c>
      <c r="C12" s="141"/>
      <c r="D12" s="106"/>
      <c r="E12" s="106"/>
      <c r="F12" s="106"/>
      <c r="G12" s="106"/>
      <c r="H12" s="106"/>
      <c r="I12" s="106"/>
      <c r="J12" s="106"/>
      <c r="K12" s="110"/>
      <c r="L12" s="111"/>
      <c r="M12" s="21"/>
      <c r="N12" s="21"/>
      <c r="O12" s="21"/>
      <c r="P12" s="21"/>
      <c r="Q12" s="21"/>
      <c r="R12" s="21"/>
      <c r="S12" s="21"/>
      <c r="T12" s="21"/>
      <c r="U12" s="21"/>
      <c r="V12" s="21"/>
      <c r="W12" s="21"/>
      <c r="X12" s="21"/>
      <c r="Y12" s="21"/>
      <c r="Z12" s="21"/>
      <c r="AA12" s="21"/>
      <c r="AB12" s="21"/>
      <c r="AC12" s="21"/>
      <c r="AD12" s="21"/>
    </row>
    <row r="13" spans="1:30" ht="83.15" customHeight="1" x14ac:dyDescent="0.45">
      <c r="A13" s="41" t="s">
        <v>243</v>
      </c>
      <c r="B13" s="95" t="s">
        <v>175</v>
      </c>
      <c r="C13" s="88"/>
      <c r="I13" t="s">
        <v>173</v>
      </c>
      <c r="K13" s="4" t="s">
        <v>33</v>
      </c>
      <c r="L13" s="61" t="s">
        <v>176</v>
      </c>
      <c r="M13" s="236"/>
      <c r="N13" s="236"/>
      <c r="O13" s="236"/>
      <c r="P13" s="236"/>
      <c r="Q13" s="236"/>
      <c r="R13" s="236"/>
      <c r="S13" s="236"/>
      <c r="T13" s="236"/>
      <c r="U13" s="236"/>
      <c r="V13" s="236"/>
      <c r="W13" s="236"/>
      <c r="X13" s="236"/>
      <c r="Y13" s="236"/>
      <c r="Z13" s="236"/>
      <c r="AA13" s="236"/>
      <c r="AB13" s="236"/>
      <c r="AC13" s="236"/>
      <c r="AD13" s="236"/>
    </row>
    <row r="14" spans="1:30" s="2" customFormat="1" ht="21" x14ac:dyDescent="0.45">
      <c r="A14" s="127" t="s">
        <v>244</v>
      </c>
      <c r="B14" s="108" t="s">
        <v>240</v>
      </c>
      <c r="C14" s="141"/>
      <c r="D14" s="106"/>
      <c r="E14" s="106"/>
      <c r="F14" s="106"/>
      <c r="G14" s="106"/>
      <c r="H14" s="106"/>
      <c r="I14" s="106"/>
      <c r="J14" s="106"/>
      <c r="K14" s="110"/>
      <c r="L14" s="111"/>
      <c r="M14" s="21"/>
      <c r="N14" s="21"/>
      <c r="O14" s="21"/>
      <c r="P14" s="21"/>
      <c r="Q14" s="21"/>
      <c r="R14" s="21"/>
      <c r="S14" s="21"/>
      <c r="T14" s="21"/>
      <c r="U14" s="21"/>
      <c r="V14" s="21"/>
      <c r="W14" s="21"/>
      <c r="X14" s="21"/>
      <c r="Y14" s="21"/>
      <c r="Z14" s="21"/>
      <c r="AA14" s="21"/>
      <c r="AB14" s="21"/>
      <c r="AC14" s="21"/>
      <c r="AD14" s="21"/>
    </row>
    <row r="15" spans="1:30" ht="100.5" customHeight="1" x14ac:dyDescent="0.45">
      <c r="A15" s="41" t="s">
        <v>362</v>
      </c>
      <c r="B15" s="95" t="s">
        <v>179</v>
      </c>
      <c r="C15" s="88"/>
      <c r="I15" t="s">
        <v>173</v>
      </c>
      <c r="K15" s="4" t="s">
        <v>66</v>
      </c>
      <c r="L15" s="61" t="s">
        <v>180</v>
      </c>
      <c r="M15" s="236"/>
      <c r="N15" s="236"/>
      <c r="O15" s="236"/>
      <c r="P15" s="236"/>
      <c r="Q15" s="236"/>
      <c r="R15" s="236"/>
      <c r="S15" s="236"/>
      <c r="T15" s="236"/>
      <c r="U15" s="236"/>
      <c r="V15" s="236"/>
      <c r="W15" s="236"/>
      <c r="X15" s="236"/>
      <c r="Y15" s="236"/>
      <c r="Z15" s="236"/>
      <c r="AA15" s="236"/>
      <c r="AB15" s="236"/>
      <c r="AC15" s="236"/>
      <c r="AD15" s="236"/>
    </row>
    <row r="16" spans="1:30" ht="58.5" customHeight="1" x14ac:dyDescent="0.45">
      <c r="A16" s="41" t="s">
        <v>246</v>
      </c>
      <c r="B16" s="95" t="s">
        <v>181</v>
      </c>
      <c r="C16" s="88"/>
      <c r="I16" t="s">
        <v>173</v>
      </c>
      <c r="K16" s="4" t="s">
        <v>33</v>
      </c>
      <c r="L16" s="61" t="s">
        <v>174</v>
      </c>
      <c r="M16" s="236"/>
      <c r="N16" s="236"/>
      <c r="O16" s="236"/>
      <c r="P16" s="236"/>
      <c r="Q16" s="236"/>
      <c r="R16" s="236"/>
      <c r="S16" s="236"/>
      <c r="T16" s="236"/>
      <c r="U16" s="236"/>
      <c r="V16" s="236"/>
      <c r="W16" s="236"/>
      <c r="X16" s="236"/>
      <c r="Y16" s="236"/>
      <c r="Z16" s="236"/>
      <c r="AA16" s="236"/>
      <c r="AB16" s="236"/>
      <c r="AC16" s="236"/>
      <c r="AD16" s="236"/>
    </row>
    <row r="17" spans="1:30" s="2" customFormat="1" ht="21" x14ac:dyDescent="0.45">
      <c r="A17" s="127" t="s">
        <v>247</v>
      </c>
      <c r="B17" s="108" t="s">
        <v>240</v>
      </c>
      <c r="C17" s="141"/>
      <c r="D17" s="106"/>
      <c r="E17" s="106"/>
      <c r="F17" s="106"/>
      <c r="G17" s="106"/>
      <c r="H17" s="106"/>
      <c r="I17" s="106"/>
      <c r="J17" s="106"/>
      <c r="K17" s="110"/>
      <c r="L17" s="111"/>
      <c r="M17" s="21"/>
      <c r="N17" s="21"/>
      <c r="O17" s="21"/>
      <c r="P17" s="21"/>
      <c r="Q17" s="21"/>
      <c r="R17" s="21"/>
      <c r="S17" s="21"/>
      <c r="T17" s="21"/>
      <c r="U17" s="21"/>
      <c r="V17" s="21"/>
      <c r="W17" s="21"/>
      <c r="X17" s="21"/>
      <c r="Y17" s="21"/>
      <c r="Z17" s="21"/>
      <c r="AA17" s="21"/>
      <c r="AB17" s="21"/>
      <c r="AC17" s="21"/>
      <c r="AD17" s="21"/>
    </row>
    <row r="18" spans="1:30" ht="149.5" customHeight="1" x14ac:dyDescent="0.45">
      <c r="A18" s="34" t="s">
        <v>248</v>
      </c>
      <c r="B18" s="95" t="s">
        <v>182</v>
      </c>
      <c r="C18" s="88"/>
      <c r="I18" t="s">
        <v>173</v>
      </c>
      <c r="K18" s="4" t="s">
        <v>66</v>
      </c>
      <c r="L18" s="61" t="s">
        <v>183</v>
      </c>
      <c r="M18" s="236"/>
      <c r="N18" s="236"/>
      <c r="O18" s="236"/>
      <c r="P18" s="236"/>
      <c r="Q18" s="236"/>
      <c r="R18" s="236"/>
      <c r="S18" s="236"/>
      <c r="T18" s="236"/>
      <c r="U18" s="236"/>
      <c r="V18" s="236"/>
      <c r="W18" s="236"/>
      <c r="X18" s="236"/>
      <c r="Y18" s="236"/>
      <c r="Z18" s="236"/>
      <c r="AA18" s="236"/>
      <c r="AB18" s="236"/>
      <c r="AC18" s="236"/>
      <c r="AD18" s="236"/>
    </row>
    <row r="19" spans="1:30" s="2" customFormat="1" ht="21" x14ac:dyDescent="0.45">
      <c r="A19" s="127" t="s">
        <v>363</v>
      </c>
      <c r="B19" s="108" t="s">
        <v>240</v>
      </c>
      <c r="C19" s="141"/>
      <c r="D19" s="106"/>
      <c r="E19" s="106"/>
      <c r="F19" s="106"/>
      <c r="G19" s="106"/>
      <c r="H19" s="106"/>
      <c r="I19" s="106"/>
      <c r="J19" s="106"/>
      <c r="K19" s="110"/>
      <c r="L19" s="111"/>
      <c r="M19" s="21"/>
      <c r="N19" s="21"/>
      <c r="O19" s="21"/>
      <c r="P19" s="21"/>
      <c r="Q19" s="21"/>
      <c r="R19" s="21"/>
      <c r="S19" s="21"/>
      <c r="T19" s="21"/>
      <c r="U19" s="21"/>
      <c r="V19" s="21"/>
      <c r="W19" s="21"/>
      <c r="X19" s="21"/>
      <c r="Y19" s="21"/>
      <c r="Z19" s="21"/>
      <c r="AA19" s="21"/>
      <c r="AB19" s="21"/>
      <c r="AC19" s="21"/>
      <c r="AD19" s="21"/>
    </row>
    <row r="20" spans="1:30" ht="69.650000000000006" customHeight="1" x14ac:dyDescent="0.45">
      <c r="A20" s="41" t="s">
        <v>250</v>
      </c>
      <c r="B20" s="95" t="s">
        <v>186</v>
      </c>
      <c r="C20" s="88"/>
      <c r="I20" t="s">
        <v>173</v>
      </c>
      <c r="K20" s="4" t="s">
        <v>66</v>
      </c>
      <c r="L20" s="61" t="s">
        <v>187</v>
      </c>
      <c r="M20" s="236"/>
      <c r="N20" s="236"/>
      <c r="O20" s="236"/>
      <c r="P20" s="236"/>
      <c r="Q20" s="236"/>
      <c r="R20" s="236"/>
      <c r="S20" s="236"/>
      <c r="T20" s="236"/>
      <c r="U20" s="236"/>
      <c r="V20" s="236"/>
      <c r="W20" s="236"/>
      <c r="X20" s="236"/>
      <c r="Y20" s="236"/>
      <c r="Z20" s="236"/>
      <c r="AA20" s="236"/>
      <c r="AB20" s="236"/>
      <c r="AC20" s="236"/>
      <c r="AD20" s="236"/>
    </row>
    <row r="21" spans="1:30" ht="83.15" customHeight="1" x14ac:dyDescent="0.45">
      <c r="A21" s="41" t="s">
        <v>364</v>
      </c>
      <c r="B21" s="95" t="s">
        <v>188</v>
      </c>
      <c r="C21" s="88"/>
      <c r="I21" t="s">
        <v>173</v>
      </c>
      <c r="K21" s="4" t="s">
        <v>66</v>
      </c>
      <c r="L21" s="61" t="s">
        <v>189</v>
      </c>
      <c r="M21" s="236"/>
      <c r="N21" s="236"/>
      <c r="O21" s="236"/>
      <c r="P21" s="236"/>
      <c r="Q21" s="236"/>
      <c r="R21" s="236"/>
      <c r="S21" s="236"/>
      <c r="T21" s="236"/>
      <c r="U21" s="236"/>
      <c r="V21" s="236"/>
      <c r="W21" s="236"/>
      <c r="X21" s="236"/>
      <c r="Y21" s="236"/>
      <c r="Z21" s="236"/>
      <c r="AA21" s="236"/>
      <c r="AB21" s="236"/>
      <c r="AC21" s="236"/>
      <c r="AD21" s="236"/>
    </row>
    <row r="22" spans="1:30" s="2" customFormat="1" ht="21" x14ac:dyDescent="0.45">
      <c r="A22" s="127" t="s">
        <v>365</v>
      </c>
      <c r="B22" s="108" t="s">
        <v>240</v>
      </c>
      <c r="C22" s="141"/>
      <c r="D22" s="106"/>
      <c r="E22" s="106"/>
      <c r="F22" s="106"/>
      <c r="G22" s="106"/>
      <c r="H22" s="106"/>
      <c r="I22" s="106"/>
      <c r="J22" s="106"/>
      <c r="K22" s="110"/>
      <c r="L22" s="111"/>
      <c r="M22" s="21"/>
      <c r="N22" s="21"/>
      <c r="O22" s="21"/>
      <c r="P22" s="21"/>
      <c r="Q22" s="21"/>
      <c r="R22" s="21"/>
      <c r="S22" s="21"/>
      <c r="T22" s="21"/>
      <c r="U22" s="21"/>
      <c r="V22" s="21"/>
      <c r="W22" s="21"/>
      <c r="X22" s="21"/>
      <c r="Y22" s="21"/>
      <c r="Z22" s="21"/>
      <c r="AA22" s="21"/>
      <c r="AB22" s="21"/>
      <c r="AC22" s="21"/>
      <c r="AD22" s="21"/>
    </row>
    <row r="23" spans="1:30" ht="68.150000000000006" customHeight="1" x14ac:dyDescent="0.45">
      <c r="A23" s="41" t="s">
        <v>366</v>
      </c>
      <c r="B23" s="95" t="s">
        <v>190</v>
      </c>
      <c r="C23" s="88"/>
      <c r="I23" t="s">
        <v>173</v>
      </c>
      <c r="K23" s="4" t="s">
        <v>66</v>
      </c>
      <c r="L23" s="61" t="s">
        <v>191</v>
      </c>
      <c r="M23" s="236"/>
      <c r="N23" s="236"/>
      <c r="O23" s="236"/>
      <c r="P23" s="236"/>
      <c r="Q23" s="236"/>
      <c r="R23" s="236"/>
      <c r="S23" s="236"/>
      <c r="T23" s="236"/>
      <c r="U23" s="236"/>
      <c r="V23" s="236"/>
      <c r="W23" s="236"/>
      <c r="X23" s="236"/>
      <c r="Y23" s="236"/>
      <c r="Z23" s="236"/>
      <c r="AA23" s="236"/>
      <c r="AB23" s="236"/>
      <c r="AC23" s="236"/>
      <c r="AD23" s="236"/>
    </row>
    <row r="24" spans="1:30" ht="61.5" customHeight="1" x14ac:dyDescent="0.45">
      <c r="A24" s="34" t="s">
        <v>367</v>
      </c>
      <c r="B24" s="95" t="s">
        <v>192</v>
      </c>
      <c r="C24" s="88"/>
      <c r="I24" t="s">
        <v>173</v>
      </c>
      <c r="K24" s="4" t="s">
        <v>66</v>
      </c>
      <c r="L24" s="61" t="s">
        <v>191</v>
      </c>
      <c r="M24" s="236"/>
      <c r="N24" s="236"/>
      <c r="O24" s="236"/>
      <c r="P24" s="236"/>
      <c r="Q24" s="236"/>
      <c r="R24" s="236"/>
      <c r="S24" s="236"/>
      <c r="T24" s="236"/>
      <c r="U24" s="236"/>
      <c r="V24" s="236"/>
      <c r="W24" s="236"/>
      <c r="X24" s="236"/>
      <c r="Y24" s="236"/>
      <c r="Z24" s="236"/>
      <c r="AA24" s="236"/>
      <c r="AB24" s="236"/>
      <c r="AC24" s="236"/>
      <c r="AD24" s="236"/>
    </row>
    <row r="25" spans="1:30" s="2" customFormat="1" ht="21" x14ac:dyDescent="0.45">
      <c r="A25" s="142" t="s">
        <v>368</v>
      </c>
      <c r="B25" s="113" t="s">
        <v>240</v>
      </c>
      <c r="C25" s="141"/>
      <c r="D25" s="106"/>
      <c r="E25" s="106"/>
      <c r="F25" s="106"/>
      <c r="G25" s="106"/>
      <c r="H25" s="106"/>
      <c r="I25" s="106"/>
      <c r="J25" s="106"/>
      <c r="K25" s="110"/>
      <c r="L25" s="111"/>
      <c r="M25" s="21"/>
      <c r="N25" s="21"/>
      <c r="O25" s="21"/>
      <c r="P25" s="21"/>
      <c r="Q25" s="21"/>
      <c r="R25" s="21"/>
      <c r="S25" s="21"/>
      <c r="T25" s="21"/>
      <c r="U25" s="21"/>
      <c r="V25" s="21"/>
      <c r="W25" s="21"/>
      <c r="X25" s="21"/>
      <c r="Y25" s="21"/>
      <c r="Z25" s="21"/>
      <c r="AA25" s="21"/>
      <c r="AB25" s="21"/>
      <c r="AC25" s="21"/>
      <c r="AD25" s="21"/>
    </row>
    <row r="26" spans="1:30" s="2" customFormat="1" ht="21" x14ac:dyDescent="0.45">
      <c r="A26" s="142" t="s">
        <v>369</v>
      </c>
      <c r="B26" s="113" t="s">
        <v>240</v>
      </c>
      <c r="C26" s="141"/>
      <c r="D26" s="106"/>
      <c r="E26" s="106"/>
      <c r="F26" s="106"/>
      <c r="G26" s="106"/>
      <c r="H26" s="106"/>
      <c r="I26" s="106"/>
      <c r="J26" s="106"/>
      <c r="K26" s="110"/>
      <c r="L26" s="111"/>
      <c r="M26" s="21"/>
      <c r="N26" s="21"/>
      <c r="O26" s="21"/>
      <c r="P26" s="21"/>
      <c r="Q26" s="21"/>
      <c r="R26" s="21"/>
      <c r="S26" s="21"/>
      <c r="T26" s="21"/>
      <c r="U26" s="21"/>
      <c r="V26" s="21"/>
      <c r="W26" s="21"/>
      <c r="X26" s="21"/>
      <c r="Y26" s="21"/>
      <c r="Z26" s="21"/>
      <c r="AA26" s="21"/>
      <c r="AB26" s="21"/>
      <c r="AC26" s="21"/>
      <c r="AD26" s="21"/>
    </row>
    <row r="27" spans="1:30" s="2" customFormat="1" ht="21" x14ac:dyDescent="0.45">
      <c r="A27" s="142" t="s">
        <v>370</v>
      </c>
      <c r="B27" s="113" t="s">
        <v>240</v>
      </c>
      <c r="C27" s="141"/>
      <c r="D27" s="106"/>
      <c r="E27" s="106"/>
      <c r="F27" s="106"/>
      <c r="G27" s="106"/>
      <c r="H27" s="106"/>
      <c r="I27" s="106"/>
      <c r="J27" s="106"/>
      <c r="K27" s="110"/>
      <c r="L27" s="111"/>
      <c r="M27" s="21"/>
      <c r="N27" s="21"/>
      <c r="O27" s="21"/>
      <c r="P27" s="21"/>
      <c r="Q27" s="21"/>
      <c r="R27" s="21"/>
      <c r="S27" s="21"/>
      <c r="T27" s="21"/>
      <c r="U27" s="21"/>
      <c r="V27" s="21"/>
      <c r="W27" s="21"/>
      <c r="X27" s="21"/>
      <c r="Y27" s="21"/>
      <c r="Z27" s="21"/>
      <c r="AA27" s="21"/>
      <c r="AB27" s="21"/>
      <c r="AC27" s="21"/>
      <c r="AD27" s="21"/>
    </row>
    <row r="28" spans="1:30" ht="91.5" customHeight="1" thickBot="1" x14ac:dyDescent="0.5">
      <c r="A28" s="42" t="s">
        <v>371</v>
      </c>
      <c r="B28" s="96" t="s">
        <v>64</v>
      </c>
      <c r="C28" s="89"/>
      <c r="D28" s="10"/>
      <c r="E28" s="10"/>
      <c r="F28" s="10"/>
      <c r="G28" s="10"/>
      <c r="H28" s="10"/>
      <c r="I28" s="10" t="s">
        <v>61</v>
      </c>
      <c r="J28" s="10"/>
      <c r="K28" s="60" t="s">
        <v>66</v>
      </c>
      <c r="L28" s="62" t="s">
        <v>65</v>
      </c>
      <c r="M28" s="236"/>
      <c r="N28" s="236"/>
      <c r="O28" s="236"/>
      <c r="P28" s="236"/>
      <c r="Q28" s="236"/>
      <c r="R28" s="236"/>
      <c r="S28" s="236"/>
      <c r="T28" s="236"/>
      <c r="U28" s="236"/>
      <c r="V28" s="236"/>
      <c r="W28" s="236"/>
      <c r="X28" s="236"/>
      <c r="Y28" s="236"/>
      <c r="Z28" s="236"/>
      <c r="AA28" s="236"/>
      <c r="AB28" s="236"/>
      <c r="AC28" s="236"/>
      <c r="AD28" s="236"/>
    </row>
    <row r="29" spans="1:30" x14ac:dyDescent="0.35">
      <c r="A29" s="261"/>
      <c r="B29" s="261"/>
      <c r="C29" s="261"/>
      <c r="D29" s="261"/>
      <c r="E29" s="261"/>
      <c r="F29" s="261"/>
      <c r="G29" s="261"/>
      <c r="H29" s="261"/>
      <c r="I29" s="261"/>
      <c r="J29" s="261"/>
      <c r="K29" s="236"/>
      <c r="L29" s="236"/>
      <c r="M29" s="236"/>
      <c r="N29" s="236"/>
      <c r="O29" s="236"/>
      <c r="P29" s="236"/>
      <c r="Q29" s="236"/>
      <c r="R29" s="236"/>
      <c r="S29" s="236"/>
      <c r="T29" s="236"/>
      <c r="U29" s="236"/>
      <c r="V29" s="236"/>
      <c r="W29" s="236"/>
      <c r="X29" s="236"/>
      <c r="Y29" s="236"/>
      <c r="Z29" s="236"/>
      <c r="AA29" s="236"/>
      <c r="AB29" s="236"/>
    </row>
    <row r="30" spans="1:30" ht="15" thickBot="1" x14ac:dyDescent="0.4">
      <c r="A30" s="261"/>
      <c r="B30" s="261"/>
      <c r="C30" s="261"/>
      <c r="D30" s="261"/>
      <c r="E30" s="261"/>
      <c r="F30" s="261"/>
      <c r="G30" s="261"/>
      <c r="H30" s="261"/>
      <c r="I30" s="261"/>
      <c r="J30" s="261"/>
      <c r="K30" s="236"/>
      <c r="L30" s="236"/>
      <c r="M30" s="236"/>
      <c r="N30" s="236"/>
      <c r="O30" s="236"/>
      <c r="P30" s="236"/>
      <c r="Q30" s="236"/>
      <c r="R30" s="236"/>
      <c r="S30" s="236"/>
      <c r="T30" s="236"/>
      <c r="U30" s="236"/>
      <c r="V30" s="236"/>
      <c r="W30" s="236"/>
      <c r="X30" s="236"/>
      <c r="Y30" s="236"/>
      <c r="Z30" s="236"/>
      <c r="AA30" s="236"/>
      <c r="AB30" s="236"/>
    </row>
    <row r="31" spans="1:30" ht="31.5" thickBot="1" x14ac:dyDescent="0.75">
      <c r="A31" s="258" t="s">
        <v>372</v>
      </c>
      <c r="B31" s="271"/>
      <c r="C31" s="271"/>
      <c r="D31" s="271"/>
      <c r="E31" s="272"/>
      <c r="F31" s="261"/>
      <c r="G31" s="261"/>
      <c r="H31" s="261"/>
      <c r="I31" s="261"/>
      <c r="J31" s="261"/>
      <c r="K31" s="236"/>
      <c r="L31" s="236"/>
      <c r="M31" s="236"/>
      <c r="N31" s="236"/>
      <c r="O31" s="236"/>
      <c r="P31" s="236"/>
      <c r="Q31" s="236"/>
      <c r="R31" s="236"/>
      <c r="S31" s="236"/>
      <c r="T31" s="236"/>
      <c r="U31" s="236"/>
      <c r="V31" s="236"/>
      <c r="W31" s="236"/>
      <c r="X31" s="236"/>
      <c r="Y31" s="236"/>
      <c r="Z31" s="236"/>
      <c r="AA31" s="236"/>
      <c r="AB31" s="236"/>
    </row>
    <row r="32" spans="1:30" s="4" customFormat="1" ht="19" thickBot="1" x14ac:dyDescent="0.5">
      <c r="A32" s="4" t="s">
        <v>223</v>
      </c>
      <c r="B32" s="4" t="s">
        <v>224</v>
      </c>
      <c r="C32" s="4" t="s">
        <v>225</v>
      </c>
      <c r="D32" s="4" t="s">
        <v>226</v>
      </c>
      <c r="E32" s="4" t="s">
        <v>227</v>
      </c>
      <c r="F32" s="261"/>
      <c r="G32" s="261"/>
      <c r="H32" s="261"/>
      <c r="I32" s="261"/>
      <c r="J32" s="261"/>
      <c r="K32" s="238"/>
      <c r="L32" s="238"/>
      <c r="M32" s="238"/>
      <c r="N32" s="238"/>
      <c r="O32" s="238"/>
      <c r="P32" s="238"/>
      <c r="Q32" s="238"/>
      <c r="R32" s="238"/>
      <c r="S32" s="238"/>
      <c r="T32" s="238"/>
      <c r="U32" s="238"/>
      <c r="V32" s="238"/>
      <c r="W32" s="238"/>
      <c r="X32" s="238"/>
      <c r="Y32" s="238"/>
      <c r="Z32" s="238"/>
      <c r="AA32" s="238"/>
      <c r="AB32" s="238"/>
    </row>
    <row r="33" spans="1:30" ht="83.5" customHeight="1" x14ac:dyDescent="0.35">
      <c r="A33" s="20" t="s">
        <v>373</v>
      </c>
      <c r="B33" s="7" t="s">
        <v>33</v>
      </c>
      <c r="C33" s="1" t="s">
        <v>374</v>
      </c>
      <c r="D33" s="67" t="s">
        <v>375</v>
      </c>
      <c r="E33" s="8"/>
      <c r="F33" s="261"/>
      <c r="G33" s="261"/>
      <c r="H33" s="261"/>
      <c r="I33" s="261"/>
      <c r="J33" s="261"/>
      <c r="K33" s="21"/>
      <c r="L33" s="21"/>
      <c r="M33" s="21"/>
      <c r="N33" s="21"/>
      <c r="O33" s="21"/>
      <c r="P33" s="21"/>
      <c r="Q33" s="21"/>
      <c r="R33" s="21"/>
      <c r="S33" s="21"/>
      <c r="T33" s="21"/>
      <c r="U33" s="21"/>
      <c r="V33" s="21"/>
      <c r="W33" s="21"/>
      <c r="X33" s="21"/>
      <c r="Y33" s="21"/>
      <c r="Z33" s="21"/>
      <c r="AA33" s="21"/>
      <c r="AB33" s="21"/>
    </row>
    <row r="34" spans="1:30" ht="76" customHeight="1" thickBot="1" x14ac:dyDescent="0.4">
      <c r="A34" s="9" t="s">
        <v>227</v>
      </c>
      <c r="B34" s="10"/>
      <c r="C34" s="10"/>
      <c r="D34" s="10"/>
      <c r="E34" s="11"/>
      <c r="F34" s="261"/>
      <c r="G34" s="261"/>
      <c r="H34" s="261"/>
      <c r="I34" s="261"/>
      <c r="J34" s="261"/>
      <c r="K34" s="21"/>
      <c r="L34" s="21"/>
      <c r="M34" s="21"/>
      <c r="N34" s="21"/>
      <c r="O34" s="21"/>
      <c r="P34" s="21"/>
      <c r="Q34" s="21"/>
      <c r="R34" s="21"/>
      <c r="S34" s="21"/>
      <c r="T34" s="21"/>
      <c r="U34" s="21"/>
      <c r="V34" s="21"/>
      <c r="W34" s="21"/>
      <c r="X34" s="21"/>
      <c r="Y34" s="21"/>
      <c r="Z34" s="21"/>
      <c r="AA34" s="21"/>
      <c r="AB34" s="21"/>
    </row>
    <row r="35" spans="1:30" ht="25" customHeight="1" x14ac:dyDescent="0.35">
      <c r="A35" s="263"/>
      <c r="B35" s="263"/>
      <c r="C35" s="263"/>
      <c r="D35" s="263"/>
      <c r="E35" s="263"/>
      <c r="F35" s="261"/>
      <c r="G35" s="261"/>
      <c r="H35" s="261"/>
      <c r="I35" s="261"/>
      <c r="J35" s="261"/>
      <c r="K35" s="21"/>
      <c r="L35" s="21"/>
      <c r="M35" s="21"/>
      <c r="N35" s="21"/>
      <c r="O35" s="21"/>
      <c r="P35" s="21"/>
      <c r="Q35" s="21"/>
      <c r="R35" s="21"/>
      <c r="S35" s="21"/>
      <c r="T35" s="21"/>
      <c r="U35" s="21"/>
      <c r="V35" s="21"/>
      <c r="W35" s="21"/>
      <c r="X35" s="21"/>
      <c r="Y35" s="21"/>
      <c r="Z35" s="21"/>
      <c r="AA35" s="21"/>
      <c r="AB35" s="21"/>
    </row>
    <row r="36" spans="1:30" hidden="1" x14ac:dyDescent="0.35">
      <c r="A36" s="263"/>
      <c r="B36" s="263"/>
      <c r="C36" s="263"/>
      <c r="D36" s="263"/>
      <c r="E36" s="263"/>
      <c r="F36" s="261"/>
      <c r="G36" s="261"/>
      <c r="H36" s="261"/>
      <c r="I36" s="261"/>
      <c r="J36" s="261"/>
      <c r="K36" s="21"/>
      <c r="L36" s="21"/>
      <c r="M36" s="21"/>
      <c r="N36" s="21"/>
      <c r="O36" s="21"/>
      <c r="P36" s="21"/>
      <c r="Q36" s="21"/>
      <c r="R36" s="21"/>
      <c r="S36" s="21"/>
      <c r="T36" s="21"/>
      <c r="U36" s="21"/>
      <c r="V36" s="21"/>
      <c r="W36" s="21"/>
      <c r="X36" s="21"/>
      <c r="Y36" s="21"/>
      <c r="Z36" s="21"/>
      <c r="AA36" s="21"/>
      <c r="AB36" s="21"/>
    </row>
    <row r="37" spans="1:30" hidden="1" x14ac:dyDescent="0.35">
      <c r="A37" s="263"/>
      <c r="B37" s="263"/>
      <c r="C37" s="263"/>
      <c r="D37" s="263"/>
      <c r="E37" s="263"/>
      <c r="F37" s="261"/>
      <c r="G37" s="261"/>
      <c r="H37" s="261"/>
      <c r="I37" s="261"/>
      <c r="J37" s="261"/>
      <c r="K37" s="21"/>
      <c r="L37" s="21"/>
      <c r="M37" s="21"/>
      <c r="N37" s="21"/>
      <c r="O37" s="21"/>
      <c r="P37" s="21"/>
      <c r="Q37" s="21"/>
      <c r="R37" s="21"/>
      <c r="S37" s="21"/>
      <c r="T37" s="21"/>
      <c r="U37" s="21"/>
      <c r="V37" s="21"/>
      <c r="W37" s="21"/>
      <c r="X37" s="21"/>
      <c r="Y37" s="21"/>
      <c r="Z37" s="21"/>
      <c r="AA37" s="21"/>
      <c r="AB37" s="21"/>
    </row>
    <row r="38" spans="1:30" hidden="1" x14ac:dyDescent="0.35">
      <c r="A38" s="263"/>
      <c r="B38" s="263"/>
      <c r="C38" s="263"/>
      <c r="D38" s="263"/>
      <c r="E38" s="263"/>
      <c r="F38" s="261"/>
      <c r="G38" s="261"/>
      <c r="H38" s="261"/>
      <c r="I38" s="261"/>
      <c r="J38" s="261"/>
      <c r="K38" s="21"/>
      <c r="L38" s="21"/>
      <c r="M38" s="21"/>
      <c r="N38" s="21"/>
      <c r="O38" s="21"/>
      <c r="P38" s="21"/>
      <c r="Q38" s="21"/>
      <c r="R38" s="21"/>
      <c r="S38" s="21"/>
      <c r="T38" s="21"/>
      <c r="U38" s="21"/>
      <c r="V38" s="21"/>
      <c r="W38" s="21"/>
      <c r="X38" s="21"/>
      <c r="Y38" s="21"/>
      <c r="Z38" s="21"/>
      <c r="AA38" s="21"/>
      <c r="AB38" s="21"/>
    </row>
    <row r="39" spans="1:30" s="4" customFormat="1" ht="19" thickBot="1" x14ac:dyDescent="0.5">
      <c r="A39" s="4" t="s">
        <v>3</v>
      </c>
      <c r="B39" s="4" t="s">
        <v>4</v>
      </c>
      <c r="C39" s="4" t="s">
        <v>230</v>
      </c>
      <c r="D39" s="4" t="s">
        <v>231</v>
      </c>
      <c r="E39" s="4" t="s">
        <v>232</v>
      </c>
      <c r="F39" s="4" t="s">
        <v>233</v>
      </c>
      <c r="G39" s="4" t="s">
        <v>234</v>
      </c>
      <c r="H39" s="4" t="s">
        <v>235</v>
      </c>
      <c r="I39" s="4" t="s">
        <v>236</v>
      </c>
      <c r="J39" s="4" t="s">
        <v>253</v>
      </c>
      <c r="K39" s="4" t="s">
        <v>238</v>
      </c>
      <c r="L39" s="4" t="s">
        <v>6</v>
      </c>
      <c r="M39" s="22"/>
      <c r="N39" s="22"/>
      <c r="O39" s="22"/>
      <c r="P39" s="22"/>
      <c r="Q39" s="22"/>
      <c r="R39" s="22"/>
      <c r="S39" s="22"/>
      <c r="T39" s="22"/>
      <c r="U39" s="22"/>
      <c r="V39" s="22"/>
      <c r="W39" s="22"/>
      <c r="X39" s="22"/>
      <c r="Y39" s="22"/>
      <c r="Z39" s="22"/>
      <c r="AA39" s="22"/>
      <c r="AB39" s="22"/>
      <c r="AC39" s="22"/>
      <c r="AD39" s="22"/>
    </row>
    <row r="40" spans="1:30" ht="87" customHeight="1" x14ac:dyDescent="0.45">
      <c r="A40" s="33" t="s">
        <v>376</v>
      </c>
      <c r="B40" s="94" t="s">
        <v>193</v>
      </c>
      <c r="C40" s="7"/>
      <c r="D40" s="7"/>
      <c r="E40" s="7"/>
      <c r="F40" s="7"/>
      <c r="G40" s="7"/>
      <c r="H40" s="7"/>
      <c r="I40" s="7" t="s">
        <v>173</v>
      </c>
      <c r="J40" s="7"/>
      <c r="K40" s="64" t="s">
        <v>33</v>
      </c>
      <c r="L40" s="93" t="s">
        <v>68</v>
      </c>
      <c r="M40" s="21"/>
      <c r="N40" s="21"/>
      <c r="O40" s="21"/>
      <c r="P40" s="21"/>
      <c r="Q40" s="21"/>
      <c r="R40" s="21"/>
      <c r="S40" s="21"/>
      <c r="T40" s="21"/>
      <c r="U40" s="21"/>
      <c r="V40" s="21"/>
      <c r="W40" s="21"/>
      <c r="X40" s="21"/>
      <c r="Y40" s="21"/>
      <c r="Z40" s="21"/>
      <c r="AA40" s="21"/>
      <c r="AB40" s="21"/>
      <c r="AC40" s="21"/>
      <c r="AD40" s="21"/>
    </row>
    <row r="41" spans="1:30" ht="62.15" customHeight="1" x14ac:dyDescent="0.45">
      <c r="A41" s="34" t="s">
        <v>377</v>
      </c>
      <c r="B41" s="95" t="s">
        <v>67</v>
      </c>
      <c r="I41" t="s">
        <v>61</v>
      </c>
      <c r="K41" s="4" t="s">
        <v>33</v>
      </c>
      <c r="L41" s="61" t="s">
        <v>68</v>
      </c>
      <c r="M41" s="21"/>
      <c r="N41" s="21"/>
      <c r="O41" s="21"/>
      <c r="P41" s="21"/>
      <c r="Q41" s="21"/>
      <c r="R41" s="21"/>
      <c r="S41" s="21"/>
      <c r="T41" s="21"/>
      <c r="U41" s="21"/>
      <c r="V41" s="21"/>
      <c r="W41" s="21"/>
      <c r="X41" s="21"/>
      <c r="Y41" s="21"/>
      <c r="Z41" s="21"/>
      <c r="AA41" s="21"/>
      <c r="AB41" s="21"/>
      <c r="AC41" s="21"/>
      <c r="AD41" s="21"/>
    </row>
    <row r="42" spans="1:30" s="2" customFormat="1" ht="18.5" x14ac:dyDescent="0.45">
      <c r="A42" s="132" t="s">
        <v>378</v>
      </c>
      <c r="B42" s="108" t="s">
        <v>240</v>
      </c>
      <c r="C42" s="106"/>
      <c r="D42" s="106"/>
      <c r="E42" s="106"/>
      <c r="F42" s="106"/>
      <c r="G42" s="106"/>
      <c r="H42" s="106"/>
      <c r="I42" s="106"/>
      <c r="J42" s="106"/>
      <c r="K42" s="110"/>
      <c r="L42" s="111"/>
      <c r="M42" s="21"/>
      <c r="N42" s="21"/>
      <c r="O42" s="21"/>
      <c r="P42" s="21"/>
      <c r="Q42" s="21"/>
      <c r="R42" s="21"/>
      <c r="S42" s="21"/>
      <c r="T42" s="21"/>
      <c r="U42" s="21"/>
      <c r="V42" s="21"/>
      <c r="W42" s="21"/>
      <c r="X42" s="21"/>
      <c r="Y42" s="21"/>
      <c r="Z42" s="21"/>
      <c r="AA42" s="21"/>
      <c r="AB42" s="21"/>
      <c r="AC42" s="21"/>
      <c r="AD42" s="21"/>
    </row>
    <row r="43" spans="1:30" s="2" customFormat="1" ht="18.5" x14ac:dyDescent="0.45">
      <c r="A43" s="132" t="s">
        <v>379</v>
      </c>
      <c r="B43" s="108" t="s">
        <v>240</v>
      </c>
      <c r="C43" s="106"/>
      <c r="D43" s="106"/>
      <c r="E43" s="106"/>
      <c r="F43" s="106"/>
      <c r="G43" s="106"/>
      <c r="H43" s="106"/>
      <c r="I43" s="106"/>
      <c r="J43" s="106"/>
      <c r="K43" s="110"/>
      <c r="L43" s="111"/>
      <c r="M43" s="21"/>
      <c r="N43" s="21"/>
      <c r="O43" s="21"/>
      <c r="P43" s="21"/>
      <c r="Q43" s="21"/>
      <c r="R43" s="21"/>
      <c r="S43" s="21"/>
      <c r="T43" s="21"/>
      <c r="U43" s="21"/>
      <c r="V43" s="21"/>
      <c r="W43" s="21"/>
      <c r="X43" s="21"/>
      <c r="Y43" s="21"/>
      <c r="Z43" s="21"/>
      <c r="AA43" s="21"/>
      <c r="AB43" s="21"/>
      <c r="AC43" s="21"/>
      <c r="AD43" s="21"/>
    </row>
    <row r="44" spans="1:30" ht="102.5" x14ac:dyDescent="0.45">
      <c r="A44" s="34" t="s">
        <v>380</v>
      </c>
      <c r="B44" s="95" t="s">
        <v>194</v>
      </c>
      <c r="I44" t="s">
        <v>173</v>
      </c>
      <c r="K44" s="4" t="s">
        <v>33</v>
      </c>
      <c r="L44" s="61" t="s">
        <v>71</v>
      </c>
      <c r="M44" s="21"/>
      <c r="N44" s="21"/>
      <c r="O44" s="21"/>
      <c r="P44" s="21"/>
      <c r="Q44" s="21"/>
      <c r="R44" s="21"/>
      <c r="S44" s="21"/>
      <c r="T44" s="21"/>
      <c r="U44" s="21"/>
      <c r="V44" s="21"/>
      <c r="W44" s="21"/>
      <c r="X44" s="21"/>
      <c r="Y44" s="21"/>
      <c r="Z44" s="21"/>
      <c r="AA44" s="21"/>
      <c r="AB44" s="21"/>
      <c r="AC44" s="21"/>
      <c r="AD44" s="21"/>
    </row>
    <row r="45" spans="1:30" ht="67" customHeight="1" x14ac:dyDescent="0.45">
      <c r="A45" s="34" t="s">
        <v>381</v>
      </c>
      <c r="B45" s="95" t="s">
        <v>196</v>
      </c>
      <c r="I45" t="s">
        <v>173</v>
      </c>
      <c r="K45" s="4" t="s">
        <v>33</v>
      </c>
      <c r="L45" s="61" t="s">
        <v>71</v>
      </c>
      <c r="M45" s="21"/>
      <c r="N45" s="21"/>
      <c r="O45" s="21"/>
      <c r="P45" s="21"/>
      <c r="Q45" s="21"/>
      <c r="R45" s="21"/>
      <c r="S45" s="21"/>
      <c r="T45" s="21"/>
      <c r="U45" s="21"/>
      <c r="V45" s="21"/>
      <c r="W45" s="21"/>
      <c r="X45" s="21"/>
      <c r="Y45" s="21"/>
      <c r="Z45" s="21"/>
      <c r="AA45" s="21"/>
      <c r="AB45" s="21"/>
      <c r="AC45" s="21"/>
      <c r="AD45" s="21"/>
    </row>
    <row r="46" spans="1:30" s="2" customFormat="1" ht="18.5" x14ac:dyDescent="0.45">
      <c r="A46" s="132" t="s">
        <v>382</v>
      </c>
      <c r="B46" s="108" t="s">
        <v>240</v>
      </c>
      <c r="C46" s="106"/>
      <c r="D46" s="106"/>
      <c r="E46" s="106"/>
      <c r="F46" s="106"/>
      <c r="G46" s="106"/>
      <c r="H46" s="106"/>
      <c r="I46" s="106"/>
      <c r="J46" s="106"/>
      <c r="K46" s="110"/>
      <c r="L46" s="111"/>
      <c r="M46" s="21"/>
      <c r="N46" s="21"/>
      <c r="O46" s="21"/>
      <c r="P46" s="21"/>
      <c r="Q46" s="21"/>
      <c r="R46" s="21"/>
      <c r="S46" s="21"/>
      <c r="T46" s="21"/>
      <c r="U46" s="21"/>
      <c r="V46" s="21"/>
      <c r="W46" s="21"/>
      <c r="X46" s="21"/>
      <c r="Y46" s="21"/>
      <c r="Z46" s="21"/>
      <c r="AA46" s="21"/>
      <c r="AB46" s="21"/>
      <c r="AC46" s="21"/>
      <c r="AD46" s="21"/>
    </row>
    <row r="47" spans="1:30" s="2" customFormat="1" ht="18.5" x14ac:dyDescent="0.45">
      <c r="A47" s="132" t="s">
        <v>383</v>
      </c>
      <c r="B47" s="108" t="s">
        <v>240</v>
      </c>
      <c r="C47" s="106"/>
      <c r="D47" s="106"/>
      <c r="E47" s="106"/>
      <c r="F47" s="106"/>
      <c r="G47" s="106"/>
      <c r="H47" s="106"/>
      <c r="I47" s="106"/>
      <c r="J47" s="106"/>
      <c r="K47" s="110"/>
      <c r="L47" s="111"/>
      <c r="M47" s="21"/>
      <c r="N47" s="21"/>
      <c r="O47" s="21"/>
      <c r="P47" s="21"/>
      <c r="Q47" s="21"/>
      <c r="R47" s="21"/>
      <c r="S47" s="21"/>
      <c r="T47" s="21"/>
      <c r="U47" s="21"/>
      <c r="V47" s="21"/>
      <c r="W47" s="21"/>
      <c r="X47" s="21"/>
      <c r="Y47" s="21"/>
      <c r="Z47" s="21"/>
      <c r="AA47" s="21"/>
      <c r="AB47" s="21"/>
      <c r="AC47" s="21"/>
      <c r="AD47" s="21"/>
    </row>
    <row r="48" spans="1:30" ht="92.5" customHeight="1" thickBot="1" x14ac:dyDescent="0.5">
      <c r="A48" s="39" t="s">
        <v>384</v>
      </c>
      <c r="B48" s="96" t="s">
        <v>197</v>
      </c>
      <c r="C48" s="10"/>
      <c r="D48" s="10"/>
      <c r="E48" s="10"/>
      <c r="F48" s="10"/>
      <c r="G48" s="10"/>
      <c r="H48" s="10"/>
      <c r="I48" s="10" t="s">
        <v>173</v>
      </c>
      <c r="J48" s="10"/>
      <c r="K48" s="60" t="s">
        <v>33</v>
      </c>
      <c r="L48" s="62" t="s">
        <v>68</v>
      </c>
      <c r="M48" s="236"/>
      <c r="N48" s="236"/>
      <c r="O48" s="236"/>
      <c r="P48" s="236"/>
      <c r="Q48" s="236"/>
      <c r="R48" s="236"/>
      <c r="S48" s="236"/>
      <c r="T48" s="236"/>
      <c r="U48" s="236"/>
      <c r="V48" s="236"/>
      <c r="W48" s="236"/>
      <c r="X48" s="236"/>
      <c r="Y48" s="236"/>
      <c r="Z48" s="236"/>
      <c r="AA48" s="236"/>
      <c r="AB48" s="236"/>
      <c r="AC48" s="236"/>
      <c r="AD48" s="236"/>
    </row>
    <row r="49" spans="1:30" x14ac:dyDescent="0.35">
      <c r="A49" s="257"/>
      <c r="B49" s="257"/>
      <c r="C49" s="257"/>
      <c r="D49" s="257"/>
      <c r="E49" s="257"/>
      <c r="F49" s="257"/>
      <c r="G49" s="257"/>
      <c r="H49" s="257"/>
      <c r="I49" s="257"/>
      <c r="J49" s="257"/>
      <c r="K49" s="236"/>
      <c r="L49" s="236"/>
      <c r="M49" s="236"/>
      <c r="N49" s="236"/>
      <c r="O49" s="236"/>
      <c r="P49" s="236"/>
      <c r="Q49" s="236"/>
      <c r="R49" s="236"/>
      <c r="S49" s="236"/>
      <c r="T49" s="236"/>
      <c r="U49" s="236"/>
      <c r="V49" s="236"/>
      <c r="W49" s="236"/>
      <c r="X49" s="236"/>
      <c r="Y49" s="236"/>
      <c r="Z49" s="236"/>
      <c r="AA49" s="236"/>
      <c r="AB49" s="236"/>
    </row>
    <row r="50" spans="1:30" ht="25.5" customHeight="1" thickBot="1" x14ac:dyDescent="0.4">
      <c r="A50" s="257"/>
      <c r="B50" s="257"/>
      <c r="C50" s="257"/>
      <c r="D50" s="257"/>
      <c r="E50" s="257"/>
      <c r="F50" s="257"/>
      <c r="G50" s="257"/>
      <c r="H50" s="257"/>
      <c r="I50" s="257"/>
      <c r="J50" s="257"/>
      <c r="K50" s="236"/>
      <c r="L50" s="236"/>
      <c r="M50" s="236"/>
      <c r="N50" s="236"/>
      <c r="O50" s="236"/>
      <c r="P50" s="236"/>
      <c r="Q50" s="236"/>
      <c r="R50" s="236"/>
      <c r="S50" s="236"/>
      <c r="T50" s="236"/>
      <c r="U50" s="236"/>
      <c r="V50" s="236"/>
      <c r="W50" s="236"/>
      <c r="X50" s="236"/>
      <c r="Y50" s="236"/>
      <c r="Z50" s="236"/>
      <c r="AA50" s="236"/>
      <c r="AB50" s="236"/>
    </row>
    <row r="51" spans="1:30" ht="34" thickBot="1" x14ac:dyDescent="0.8">
      <c r="A51" s="249" t="s">
        <v>385</v>
      </c>
      <c r="B51" s="250"/>
      <c r="C51" s="250"/>
      <c r="D51" s="250"/>
      <c r="E51" s="251"/>
      <c r="F51" s="245"/>
      <c r="G51" s="245"/>
      <c r="H51" s="245"/>
      <c r="I51" s="245"/>
      <c r="J51" s="245"/>
      <c r="K51" s="236"/>
      <c r="L51" s="236"/>
      <c r="M51" s="236"/>
      <c r="N51" s="236"/>
      <c r="O51" s="236"/>
      <c r="P51" s="236"/>
      <c r="Q51" s="236"/>
      <c r="R51" s="236"/>
      <c r="S51" s="236"/>
      <c r="T51" s="236"/>
      <c r="U51" s="236"/>
      <c r="V51" s="236"/>
      <c r="W51" s="236"/>
      <c r="X51" s="236"/>
      <c r="Y51" s="236"/>
      <c r="Z51" s="236"/>
      <c r="AA51" s="236"/>
      <c r="AB51" s="236"/>
    </row>
    <row r="52" spans="1:30" s="4" customFormat="1" ht="19" thickBot="1" x14ac:dyDescent="0.5">
      <c r="A52" s="4" t="s">
        <v>223</v>
      </c>
      <c r="B52" s="4" t="s">
        <v>224</v>
      </c>
      <c r="C52" s="4" t="s">
        <v>225</v>
      </c>
      <c r="D52" s="4" t="s">
        <v>226</v>
      </c>
      <c r="E52" s="4" t="s">
        <v>227</v>
      </c>
      <c r="F52" s="262"/>
      <c r="G52" s="262"/>
      <c r="H52" s="262"/>
      <c r="I52" s="262"/>
      <c r="J52" s="262"/>
      <c r="K52" s="238"/>
      <c r="L52" s="238"/>
      <c r="M52" s="238"/>
      <c r="N52" s="238"/>
      <c r="O52" s="238"/>
      <c r="P52" s="238"/>
      <c r="Q52" s="238"/>
      <c r="R52" s="238"/>
      <c r="S52" s="238"/>
      <c r="T52" s="238"/>
      <c r="U52" s="238"/>
      <c r="V52" s="238"/>
      <c r="W52" s="238"/>
      <c r="X52" s="238"/>
      <c r="Y52" s="238"/>
      <c r="Z52" s="238"/>
      <c r="AA52" s="238"/>
      <c r="AB52" s="238"/>
    </row>
    <row r="53" spans="1:30" ht="90" customHeight="1" x14ac:dyDescent="0.35">
      <c r="A53" s="6" t="s">
        <v>386</v>
      </c>
      <c r="B53" s="7" t="s">
        <v>33</v>
      </c>
      <c r="C53" s="7"/>
      <c r="D53" s="53" t="s">
        <v>387</v>
      </c>
      <c r="E53" s="8"/>
      <c r="F53" s="262"/>
      <c r="G53" s="262"/>
      <c r="H53" s="262"/>
      <c r="I53" s="262"/>
      <c r="J53" s="262"/>
      <c r="K53" s="236"/>
      <c r="L53" s="236"/>
      <c r="M53" s="236"/>
      <c r="N53" s="236"/>
      <c r="O53" s="236"/>
      <c r="P53" s="236"/>
      <c r="Q53" s="236"/>
      <c r="R53" s="236"/>
      <c r="S53" s="236"/>
      <c r="T53" s="236"/>
      <c r="U53" s="236"/>
      <c r="V53" s="236"/>
      <c r="W53" s="236"/>
      <c r="X53" s="236"/>
      <c r="Y53" s="236"/>
      <c r="Z53" s="236"/>
      <c r="AA53" s="236"/>
      <c r="AB53" s="236"/>
    </row>
    <row r="54" spans="1:30" ht="69.650000000000006" customHeight="1" thickBot="1" x14ac:dyDescent="0.4">
      <c r="A54" s="9" t="s">
        <v>227</v>
      </c>
      <c r="B54" s="10"/>
      <c r="C54" s="10"/>
      <c r="D54" s="10"/>
      <c r="E54" s="11"/>
      <c r="F54" s="262"/>
      <c r="G54" s="262"/>
      <c r="H54" s="262"/>
      <c r="I54" s="262"/>
      <c r="J54" s="262"/>
      <c r="K54" s="236"/>
      <c r="L54" s="236"/>
      <c r="M54" s="236"/>
      <c r="N54" s="236"/>
      <c r="O54" s="236"/>
      <c r="P54" s="236"/>
      <c r="Q54" s="236"/>
      <c r="R54" s="236"/>
      <c r="S54" s="236"/>
      <c r="T54" s="236"/>
      <c r="U54" s="236"/>
      <c r="V54" s="236"/>
      <c r="W54" s="236"/>
      <c r="X54" s="236"/>
      <c r="Y54" s="236"/>
      <c r="Z54" s="236"/>
      <c r="AA54" s="236"/>
      <c r="AB54" s="236"/>
    </row>
    <row r="55" spans="1:30" x14ac:dyDescent="0.35">
      <c r="A55" s="245"/>
      <c r="B55" s="245"/>
      <c r="C55" s="245"/>
      <c r="D55" s="245"/>
      <c r="E55" s="245"/>
      <c r="F55" s="245"/>
      <c r="G55" s="245"/>
      <c r="H55" s="245"/>
      <c r="I55" s="245"/>
      <c r="J55" s="245"/>
      <c r="K55" s="236"/>
      <c r="L55" s="236"/>
      <c r="M55" s="236"/>
      <c r="N55" s="236"/>
      <c r="O55" s="236"/>
      <c r="P55" s="236"/>
      <c r="Q55" s="236"/>
      <c r="R55" s="236"/>
      <c r="S55" s="236"/>
      <c r="T55" s="236"/>
      <c r="U55" s="236"/>
      <c r="V55" s="236"/>
      <c r="W55" s="236"/>
      <c r="X55" s="236"/>
      <c r="Y55" s="236"/>
      <c r="Z55" s="236"/>
      <c r="AA55" s="236"/>
      <c r="AB55" s="236"/>
    </row>
    <row r="56" spans="1:30" hidden="1" x14ac:dyDescent="0.35">
      <c r="A56" s="245"/>
      <c r="B56" s="245"/>
      <c r="C56" s="245"/>
      <c r="D56" s="245"/>
      <c r="E56" s="245"/>
      <c r="F56" s="245"/>
      <c r="G56" s="245"/>
      <c r="H56" s="245"/>
      <c r="I56" s="245"/>
      <c r="J56" s="245"/>
      <c r="K56" s="236"/>
      <c r="L56" s="236"/>
      <c r="M56" s="236"/>
      <c r="N56" s="236"/>
      <c r="O56" s="236"/>
      <c r="P56" s="236"/>
      <c r="Q56" s="236"/>
      <c r="R56" s="236"/>
      <c r="S56" s="236"/>
      <c r="T56" s="236"/>
      <c r="U56" s="236"/>
      <c r="V56" s="236"/>
      <c r="W56" s="236"/>
      <c r="X56" s="236"/>
      <c r="Y56" s="236"/>
      <c r="Z56" s="236"/>
      <c r="AA56" s="236"/>
      <c r="AB56" s="236"/>
    </row>
    <row r="57" spans="1:30" hidden="1" x14ac:dyDescent="0.35">
      <c r="A57" s="245"/>
      <c r="B57" s="245"/>
      <c r="C57" s="245"/>
      <c r="D57" s="245"/>
      <c r="E57" s="245"/>
      <c r="F57" s="245"/>
      <c r="G57" s="245"/>
      <c r="H57" s="245"/>
      <c r="I57" s="245"/>
      <c r="J57" s="245"/>
      <c r="K57" s="236"/>
      <c r="L57" s="236"/>
      <c r="M57" s="236"/>
      <c r="N57" s="236"/>
      <c r="O57" s="236"/>
      <c r="P57" s="236"/>
      <c r="Q57" s="236"/>
      <c r="R57" s="236"/>
      <c r="S57" s="236"/>
      <c r="T57" s="236"/>
      <c r="U57" s="236"/>
      <c r="V57" s="236"/>
      <c r="W57" s="236"/>
      <c r="X57" s="236"/>
      <c r="Y57" s="236"/>
      <c r="Z57" s="236"/>
      <c r="AA57" s="236"/>
      <c r="AB57" s="236"/>
    </row>
    <row r="58" spans="1:30" hidden="1" x14ac:dyDescent="0.35">
      <c r="A58" s="245"/>
      <c r="B58" s="245"/>
      <c r="C58" s="245"/>
      <c r="D58" s="245"/>
      <c r="E58" s="245"/>
      <c r="F58" s="245"/>
      <c r="G58" s="245"/>
      <c r="H58" s="245"/>
      <c r="I58" s="245"/>
      <c r="J58" s="245"/>
      <c r="K58" s="236"/>
      <c r="L58" s="236"/>
      <c r="M58" s="236"/>
      <c r="N58" s="236"/>
      <c r="O58" s="236"/>
      <c r="P58" s="236"/>
      <c r="Q58" s="236"/>
      <c r="R58" s="236"/>
      <c r="S58" s="236"/>
      <c r="T58" s="236"/>
      <c r="U58" s="236"/>
      <c r="V58" s="236"/>
      <c r="W58" s="236"/>
      <c r="X58" s="236"/>
      <c r="Y58" s="236"/>
      <c r="Z58" s="236"/>
      <c r="AA58" s="236"/>
      <c r="AB58" s="236"/>
    </row>
    <row r="59" spans="1:30" s="4" customFormat="1" ht="19" thickBot="1" x14ac:dyDescent="0.5">
      <c r="A59" s="4" t="s">
        <v>3</v>
      </c>
      <c r="B59" s="4" t="s">
        <v>4</v>
      </c>
      <c r="C59" s="4" t="s">
        <v>230</v>
      </c>
      <c r="D59" s="4" t="s">
        <v>231</v>
      </c>
      <c r="E59" s="4" t="s">
        <v>232</v>
      </c>
      <c r="F59" s="4" t="s">
        <v>233</v>
      </c>
      <c r="G59" s="4" t="s">
        <v>234</v>
      </c>
      <c r="H59" s="4" t="s">
        <v>235</v>
      </c>
      <c r="I59" s="4" t="s">
        <v>236</v>
      </c>
      <c r="J59" s="4" t="s">
        <v>253</v>
      </c>
      <c r="K59" s="4" t="s">
        <v>238</v>
      </c>
      <c r="L59" s="4" t="s">
        <v>6</v>
      </c>
      <c r="M59" s="238"/>
      <c r="N59" s="238"/>
      <c r="O59" s="238"/>
      <c r="P59" s="238"/>
      <c r="Q59" s="238"/>
      <c r="R59" s="238"/>
      <c r="S59" s="238"/>
      <c r="T59" s="238"/>
      <c r="U59" s="238"/>
      <c r="V59" s="238"/>
      <c r="W59" s="238"/>
      <c r="X59" s="238"/>
      <c r="Y59" s="238"/>
      <c r="Z59" s="238"/>
      <c r="AA59" s="238"/>
      <c r="AB59" s="238"/>
      <c r="AC59" s="238"/>
      <c r="AD59" s="238"/>
    </row>
    <row r="60" spans="1:30" ht="76" customHeight="1" x14ac:dyDescent="0.45">
      <c r="A60" s="33" t="s">
        <v>388</v>
      </c>
      <c r="B60" s="94" t="s">
        <v>198</v>
      </c>
      <c r="C60" s="7"/>
      <c r="D60" s="7"/>
      <c r="E60" s="7"/>
      <c r="F60" s="7"/>
      <c r="G60" s="7"/>
      <c r="H60" s="7"/>
      <c r="I60" s="7" t="s">
        <v>173</v>
      </c>
      <c r="J60" s="7"/>
      <c r="K60" s="64" t="s">
        <v>33</v>
      </c>
      <c r="L60" s="93" t="s">
        <v>199</v>
      </c>
      <c r="M60" s="236"/>
      <c r="N60" s="236"/>
      <c r="O60" s="236"/>
      <c r="P60" s="236"/>
      <c r="Q60" s="236"/>
      <c r="R60" s="236"/>
      <c r="S60" s="236"/>
      <c r="T60" s="236"/>
      <c r="U60" s="236"/>
      <c r="V60" s="236"/>
      <c r="W60" s="236"/>
      <c r="X60" s="236"/>
      <c r="Y60" s="236"/>
      <c r="Z60" s="236"/>
      <c r="AA60" s="236"/>
      <c r="AB60" s="236"/>
      <c r="AC60" s="236"/>
      <c r="AD60" s="236"/>
    </row>
    <row r="61" spans="1:30" ht="71.150000000000006" customHeight="1" x14ac:dyDescent="0.45">
      <c r="A61" s="34" t="s">
        <v>389</v>
      </c>
      <c r="B61" s="95" t="s">
        <v>98</v>
      </c>
      <c r="I61" t="s">
        <v>173</v>
      </c>
      <c r="K61" s="4" t="s">
        <v>33</v>
      </c>
      <c r="L61" s="61" t="s">
        <v>200</v>
      </c>
      <c r="M61" s="236"/>
      <c r="N61" s="236"/>
      <c r="O61" s="236"/>
      <c r="P61" s="236"/>
      <c r="Q61" s="236"/>
      <c r="R61" s="236"/>
      <c r="S61" s="236"/>
      <c r="T61" s="236"/>
      <c r="U61" s="236"/>
      <c r="V61" s="236"/>
      <c r="W61" s="236"/>
      <c r="X61" s="236"/>
      <c r="Y61" s="236"/>
      <c r="Z61" s="236"/>
      <c r="AA61" s="236"/>
      <c r="AB61" s="236"/>
      <c r="AC61" s="236"/>
      <c r="AD61" s="236"/>
    </row>
    <row r="62" spans="1:30" s="2" customFormat="1" ht="18.5" x14ac:dyDescent="0.45">
      <c r="A62" s="132" t="s">
        <v>390</v>
      </c>
      <c r="B62" s="108" t="s">
        <v>240</v>
      </c>
      <c r="C62" s="106"/>
      <c r="D62" s="106"/>
      <c r="E62" s="106"/>
      <c r="F62" s="106"/>
      <c r="G62" s="106"/>
      <c r="H62" s="106"/>
      <c r="I62" s="106"/>
      <c r="J62" s="106"/>
      <c r="K62" s="110"/>
      <c r="L62" s="143"/>
      <c r="M62" s="21"/>
      <c r="N62" s="21"/>
      <c r="O62" s="21"/>
      <c r="P62" s="21"/>
      <c r="Q62" s="21"/>
      <c r="R62" s="21"/>
      <c r="S62" s="21"/>
      <c r="T62" s="21"/>
      <c r="U62" s="21"/>
      <c r="V62" s="21"/>
      <c r="W62" s="21"/>
      <c r="X62" s="21"/>
      <c r="Y62" s="21"/>
      <c r="Z62" s="21"/>
      <c r="AA62" s="21"/>
      <c r="AB62" s="21"/>
      <c r="AC62" s="21"/>
      <c r="AD62" s="21"/>
    </row>
    <row r="63" spans="1:30" s="2" customFormat="1" ht="18.5" x14ac:dyDescent="0.45">
      <c r="A63" s="132" t="s">
        <v>391</v>
      </c>
      <c r="B63" s="108" t="s">
        <v>240</v>
      </c>
      <c r="C63" s="106"/>
      <c r="D63" s="106"/>
      <c r="E63" s="106"/>
      <c r="F63" s="106"/>
      <c r="G63" s="106"/>
      <c r="H63" s="106"/>
      <c r="I63" s="106"/>
      <c r="J63" s="106"/>
      <c r="K63" s="110"/>
      <c r="L63" s="143"/>
      <c r="M63" s="21"/>
      <c r="N63" s="21"/>
      <c r="O63" s="21"/>
      <c r="P63" s="21"/>
      <c r="Q63" s="21"/>
      <c r="R63" s="21"/>
      <c r="S63" s="21"/>
      <c r="T63" s="21"/>
      <c r="U63" s="21"/>
      <c r="V63" s="21"/>
      <c r="W63" s="21"/>
      <c r="X63" s="21"/>
      <c r="Y63" s="21"/>
      <c r="Z63" s="21"/>
      <c r="AA63" s="21"/>
      <c r="AB63" s="21"/>
      <c r="AC63" s="21"/>
      <c r="AD63" s="21"/>
    </row>
    <row r="64" spans="1:30" ht="56.15" customHeight="1" x14ac:dyDescent="0.45">
      <c r="A64" s="34" t="s">
        <v>392</v>
      </c>
      <c r="B64" s="95" t="s">
        <v>70</v>
      </c>
      <c r="I64" t="s">
        <v>61</v>
      </c>
      <c r="K64" s="4" t="s">
        <v>33</v>
      </c>
      <c r="L64" s="61" t="s">
        <v>71</v>
      </c>
      <c r="M64" s="236"/>
      <c r="N64" s="236"/>
      <c r="O64" s="236"/>
      <c r="P64" s="236"/>
      <c r="Q64" s="236"/>
      <c r="R64" s="236"/>
      <c r="S64" s="236"/>
      <c r="T64" s="236"/>
      <c r="U64" s="236"/>
      <c r="V64" s="236"/>
      <c r="W64" s="236"/>
      <c r="X64" s="236"/>
      <c r="Y64" s="236"/>
      <c r="Z64" s="236"/>
      <c r="AA64" s="236"/>
      <c r="AB64" s="236"/>
      <c r="AC64" s="236"/>
      <c r="AD64" s="236"/>
    </row>
    <row r="65" spans="1:30" ht="89.5" customHeight="1" x14ac:dyDescent="0.45">
      <c r="A65" s="34" t="s">
        <v>393</v>
      </c>
      <c r="B65" s="95" t="s">
        <v>201</v>
      </c>
      <c r="I65" t="s">
        <v>173</v>
      </c>
      <c r="K65" s="4" t="s">
        <v>33</v>
      </c>
      <c r="L65" s="61" t="s">
        <v>71</v>
      </c>
      <c r="M65" s="236"/>
      <c r="N65" s="236"/>
      <c r="O65" s="236"/>
      <c r="P65" s="236"/>
      <c r="Q65" s="236"/>
      <c r="R65" s="236"/>
      <c r="S65" s="236"/>
      <c r="T65" s="236"/>
      <c r="U65" s="236"/>
      <c r="V65" s="236"/>
      <c r="W65" s="236"/>
      <c r="X65" s="236"/>
      <c r="Y65" s="236"/>
      <c r="Z65" s="236"/>
      <c r="AA65" s="236"/>
      <c r="AB65" s="236"/>
      <c r="AC65" s="236"/>
      <c r="AD65" s="236"/>
    </row>
    <row r="66" spans="1:30" s="2" customFormat="1" ht="18.5" x14ac:dyDescent="0.45">
      <c r="A66" s="132" t="s">
        <v>394</v>
      </c>
      <c r="B66" s="108" t="s">
        <v>240</v>
      </c>
      <c r="C66" s="106"/>
      <c r="D66" s="106"/>
      <c r="E66" s="106"/>
      <c r="F66" s="106"/>
      <c r="G66" s="106"/>
      <c r="H66" s="106"/>
      <c r="I66" s="106"/>
      <c r="J66" s="106"/>
      <c r="K66" s="110"/>
      <c r="L66" s="111"/>
      <c r="M66" s="21"/>
      <c r="N66" s="21"/>
      <c r="O66" s="21"/>
      <c r="P66" s="21"/>
      <c r="Q66" s="21"/>
      <c r="R66" s="21"/>
      <c r="S66" s="21"/>
      <c r="T66" s="21"/>
      <c r="U66" s="21"/>
      <c r="V66" s="21"/>
      <c r="W66" s="21"/>
      <c r="X66" s="21"/>
      <c r="Y66" s="21"/>
      <c r="Z66" s="21"/>
      <c r="AA66" s="21"/>
      <c r="AB66" s="21"/>
      <c r="AC66" s="21"/>
      <c r="AD66" s="21"/>
    </row>
    <row r="67" spans="1:30" s="2" customFormat="1" ht="18.5" x14ac:dyDescent="0.45">
      <c r="A67" s="132" t="s">
        <v>395</v>
      </c>
      <c r="B67" s="108" t="s">
        <v>240</v>
      </c>
      <c r="C67" s="106"/>
      <c r="D67" s="106"/>
      <c r="E67" s="106"/>
      <c r="F67" s="106"/>
      <c r="G67" s="106"/>
      <c r="H67" s="106"/>
      <c r="I67" s="106"/>
      <c r="J67" s="106"/>
      <c r="K67" s="110"/>
      <c r="L67" s="111"/>
      <c r="M67" s="21"/>
      <c r="N67" s="21"/>
      <c r="O67" s="21"/>
      <c r="P67" s="21"/>
      <c r="Q67" s="21"/>
      <c r="R67" s="21"/>
      <c r="S67" s="21"/>
      <c r="T67" s="21"/>
      <c r="U67" s="21"/>
      <c r="V67" s="21"/>
      <c r="W67" s="21"/>
      <c r="X67" s="21"/>
      <c r="Y67" s="21"/>
      <c r="Z67" s="21"/>
      <c r="AA67" s="21"/>
      <c r="AB67" s="21"/>
      <c r="AC67" s="21"/>
      <c r="AD67" s="21"/>
    </row>
    <row r="68" spans="1:30" s="2" customFormat="1" ht="18.5" x14ac:dyDescent="0.45">
      <c r="A68" s="132" t="s">
        <v>396</v>
      </c>
      <c r="B68" s="108" t="s">
        <v>240</v>
      </c>
      <c r="C68" s="106"/>
      <c r="D68" s="106"/>
      <c r="E68" s="106"/>
      <c r="F68" s="106"/>
      <c r="G68" s="106"/>
      <c r="H68" s="106"/>
      <c r="I68" s="106"/>
      <c r="J68" s="106"/>
      <c r="K68" s="110"/>
      <c r="L68" s="111"/>
      <c r="M68" s="21"/>
      <c r="N68" s="21"/>
      <c r="O68" s="21"/>
      <c r="P68" s="21"/>
      <c r="Q68" s="21"/>
      <c r="R68" s="21"/>
      <c r="S68" s="21"/>
      <c r="T68" s="21"/>
      <c r="U68" s="21"/>
      <c r="V68" s="21"/>
      <c r="W68" s="21"/>
      <c r="X68" s="21"/>
      <c r="Y68" s="21"/>
      <c r="Z68" s="21"/>
      <c r="AA68" s="21"/>
      <c r="AB68" s="21"/>
      <c r="AC68" s="21"/>
      <c r="AD68" s="21"/>
    </row>
    <row r="69" spans="1:30" s="2" customFormat="1" ht="18.5" x14ac:dyDescent="0.45">
      <c r="A69" s="144" t="s">
        <v>397</v>
      </c>
      <c r="B69" s="113" t="s">
        <v>240</v>
      </c>
      <c r="C69" s="106"/>
      <c r="D69" s="106"/>
      <c r="E69" s="106"/>
      <c r="F69" s="106"/>
      <c r="G69" s="106"/>
      <c r="H69" s="106"/>
      <c r="I69" s="106"/>
      <c r="J69" s="106"/>
      <c r="K69" s="110"/>
      <c r="L69" s="111"/>
      <c r="M69" s="21"/>
      <c r="N69" s="21"/>
      <c r="O69" s="21"/>
      <c r="P69" s="21"/>
      <c r="Q69" s="21"/>
      <c r="R69" s="21"/>
      <c r="S69" s="21"/>
      <c r="T69" s="21"/>
      <c r="U69" s="21"/>
      <c r="V69" s="21"/>
      <c r="W69" s="21"/>
      <c r="X69" s="21"/>
      <c r="Y69" s="21"/>
      <c r="Z69" s="21"/>
      <c r="AA69" s="21"/>
      <c r="AB69" s="21"/>
      <c r="AC69" s="21"/>
      <c r="AD69" s="21"/>
    </row>
    <row r="70" spans="1:30" s="2" customFormat="1" ht="19" thickBot="1" x14ac:dyDescent="0.5">
      <c r="A70" s="145" t="s">
        <v>398</v>
      </c>
      <c r="B70" s="146" t="s">
        <v>240</v>
      </c>
      <c r="C70" s="103"/>
      <c r="D70" s="103"/>
      <c r="E70" s="103"/>
      <c r="F70" s="103"/>
      <c r="G70" s="103"/>
      <c r="H70" s="103"/>
      <c r="I70" s="103"/>
      <c r="J70" s="103"/>
      <c r="K70" s="104"/>
      <c r="L70" s="105"/>
      <c r="M70" s="21"/>
      <c r="N70" s="21"/>
      <c r="O70" s="21"/>
      <c r="P70" s="21"/>
      <c r="Q70" s="21"/>
      <c r="R70" s="21"/>
      <c r="S70" s="21"/>
      <c r="T70" s="21"/>
      <c r="U70" s="21"/>
      <c r="V70" s="21"/>
      <c r="W70" s="21"/>
      <c r="X70" s="21"/>
      <c r="Y70" s="21"/>
      <c r="Z70" s="21"/>
      <c r="AA70" s="21"/>
      <c r="AB70" s="21"/>
      <c r="AC70" s="21"/>
      <c r="AD70" s="21"/>
    </row>
    <row r="71" spans="1:30" x14ac:dyDescent="0.35">
      <c r="A71" s="245"/>
      <c r="B71" s="245"/>
      <c r="C71" s="245"/>
      <c r="D71" s="245"/>
      <c r="E71" s="245"/>
      <c r="F71" s="245"/>
      <c r="G71" s="245"/>
      <c r="H71" s="245"/>
      <c r="I71" s="245"/>
      <c r="J71" s="245"/>
      <c r="K71" s="236"/>
      <c r="L71" s="236"/>
      <c r="M71" s="236"/>
      <c r="N71" s="236"/>
      <c r="O71" s="236"/>
      <c r="P71" s="236"/>
      <c r="Q71" s="236"/>
      <c r="R71" s="236"/>
      <c r="S71" s="236"/>
      <c r="T71" s="236"/>
      <c r="U71" s="236"/>
      <c r="V71" s="236"/>
      <c r="W71" s="236"/>
      <c r="X71" s="236"/>
      <c r="Y71" s="236"/>
      <c r="Z71" s="236"/>
      <c r="AA71" s="236"/>
      <c r="AB71" s="236"/>
    </row>
    <row r="72" spans="1:30" ht="15" thickBot="1" x14ac:dyDescent="0.4">
      <c r="A72" s="252"/>
      <c r="B72" s="252"/>
      <c r="C72" s="252"/>
      <c r="D72" s="252"/>
      <c r="E72" s="252"/>
      <c r="F72" s="245"/>
      <c r="G72" s="245"/>
      <c r="H72" s="245"/>
      <c r="I72" s="245"/>
      <c r="J72" s="245"/>
      <c r="K72" s="236"/>
      <c r="L72" s="236"/>
      <c r="M72" s="236"/>
      <c r="N72" s="236"/>
      <c r="O72" s="236"/>
      <c r="P72" s="236"/>
      <c r="Q72" s="236"/>
      <c r="R72" s="236"/>
      <c r="S72" s="236"/>
      <c r="T72" s="236"/>
      <c r="U72" s="236"/>
      <c r="V72" s="236"/>
      <c r="W72" s="236"/>
      <c r="X72" s="236"/>
      <c r="Y72" s="236"/>
      <c r="Z72" s="236"/>
      <c r="AA72" s="236"/>
      <c r="AB72" s="236"/>
    </row>
    <row r="73" spans="1:30" ht="31.5" thickBot="1" x14ac:dyDescent="0.75">
      <c r="A73" s="253" t="s">
        <v>399</v>
      </c>
      <c r="B73" s="254"/>
      <c r="C73" s="254"/>
      <c r="D73" s="254"/>
      <c r="E73" s="255"/>
      <c r="F73" s="245"/>
      <c r="G73" s="245"/>
      <c r="H73" s="245"/>
      <c r="I73" s="245"/>
      <c r="J73" s="245"/>
      <c r="K73" s="236"/>
      <c r="L73" s="236"/>
      <c r="M73" s="236"/>
      <c r="N73" s="236"/>
      <c r="O73" s="236"/>
      <c r="P73" s="236"/>
      <c r="Q73" s="236"/>
      <c r="R73" s="236"/>
      <c r="S73" s="236"/>
      <c r="T73" s="236"/>
      <c r="U73" s="236"/>
      <c r="V73" s="236"/>
      <c r="W73" s="236"/>
      <c r="X73" s="236"/>
      <c r="Y73" s="236"/>
      <c r="Z73" s="236"/>
      <c r="AA73" s="236"/>
      <c r="AB73" s="236"/>
    </row>
    <row r="74" spans="1:30" ht="24.65" customHeight="1" thickBot="1" x14ac:dyDescent="0.4">
      <c r="A74" s="256"/>
      <c r="B74" s="256"/>
      <c r="C74" s="256"/>
      <c r="D74" s="256"/>
      <c r="E74" s="256"/>
      <c r="F74" s="245"/>
      <c r="G74" s="245"/>
      <c r="H74" s="245"/>
      <c r="I74" s="245"/>
      <c r="J74" s="245"/>
      <c r="K74" s="236"/>
      <c r="L74" s="236"/>
      <c r="M74" s="236"/>
      <c r="N74" s="236"/>
      <c r="O74" s="236"/>
      <c r="P74" s="236"/>
      <c r="Q74" s="236"/>
      <c r="R74" s="236"/>
      <c r="S74" s="236"/>
      <c r="T74" s="236"/>
      <c r="U74" s="236"/>
      <c r="V74" s="236"/>
      <c r="W74" s="236"/>
      <c r="X74" s="236"/>
      <c r="Y74" s="236"/>
      <c r="Z74" s="236"/>
      <c r="AA74" s="236"/>
      <c r="AB74" s="236"/>
    </row>
    <row r="75" spans="1:30" ht="33.5" x14ac:dyDescent="0.75">
      <c r="A75" s="246" t="s">
        <v>400</v>
      </c>
      <c r="B75" s="247"/>
      <c r="C75" s="247"/>
      <c r="D75" s="247"/>
      <c r="E75" s="248"/>
      <c r="F75" s="245"/>
      <c r="G75" s="245"/>
      <c r="H75" s="245"/>
      <c r="I75" s="245"/>
      <c r="J75" s="245"/>
      <c r="K75" s="236"/>
      <c r="L75" s="236"/>
      <c r="M75" s="236"/>
      <c r="N75" s="236"/>
      <c r="O75" s="236"/>
      <c r="P75" s="236"/>
      <c r="Q75" s="236"/>
      <c r="R75" s="236"/>
      <c r="S75" s="236"/>
      <c r="T75" s="236"/>
      <c r="U75" s="236"/>
      <c r="V75" s="236"/>
      <c r="W75" s="236"/>
      <c r="X75" s="236"/>
      <c r="Y75" s="236"/>
      <c r="Z75" s="236"/>
      <c r="AA75" s="236"/>
      <c r="AB75" s="236"/>
    </row>
    <row r="76" spans="1:30" s="4" customFormat="1" ht="18.5" x14ac:dyDescent="0.45">
      <c r="A76" s="16" t="s">
        <v>223</v>
      </c>
      <c r="B76" s="4" t="s">
        <v>224</v>
      </c>
      <c r="C76" s="4" t="s">
        <v>225</v>
      </c>
      <c r="D76" s="4" t="s">
        <v>226</v>
      </c>
      <c r="E76" s="17" t="s">
        <v>227</v>
      </c>
      <c r="F76" s="245"/>
      <c r="G76" s="245"/>
      <c r="H76" s="245"/>
      <c r="I76" s="245"/>
      <c r="J76" s="245"/>
      <c r="K76" s="238"/>
      <c r="L76" s="238"/>
      <c r="M76" s="238"/>
      <c r="N76" s="238"/>
      <c r="O76" s="238"/>
      <c r="P76" s="238"/>
      <c r="Q76" s="238"/>
      <c r="R76" s="238"/>
      <c r="S76" s="238"/>
      <c r="T76" s="238"/>
      <c r="U76" s="238"/>
      <c r="V76" s="238"/>
      <c r="W76" s="238"/>
      <c r="X76" s="238"/>
      <c r="Y76" s="238"/>
      <c r="Z76" s="238"/>
      <c r="AA76" s="238"/>
      <c r="AB76" s="238"/>
    </row>
    <row r="77" spans="1:30" ht="72.5" x14ac:dyDescent="0.35">
      <c r="A77" s="18" t="s">
        <v>401</v>
      </c>
      <c r="B77" t="s">
        <v>33</v>
      </c>
      <c r="E77" s="14"/>
      <c r="F77" s="245"/>
      <c r="G77" s="245"/>
      <c r="H77" s="245"/>
      <c r="I77" s="245"/>
      <c r="J77" s="245"/>
      <c r="K77" s="236"/>
      <c r="L77" s="236"/>
      <c r="M77" s="236"/>
      <c r="N77" s="236"/>
      <c r="O77" s="236"/>
      <c r="P77" s="236"/>
      <c r="Q77" s="236"/>
      <c r="R77" s="236"/>
      <c r="S77" s="236"/>
      <c r="T77" s="236"/>
      <c r="U77" s="236"/>
      <c r="V77" s="236"/>
      <c r="W77" s="236"/>
      <c r="X77" s="236"/>
      <c r="Y77" s="236"/>
      <c r="Z77" s="236"/>
      <c r="AA77" s="236"/>
      <c r="AB77" s="236"/>
    </row>
    <row r="78" spans="1:30" ht="75" customHeight="1" thickBot="1" x14ac:dyDescent="0.4">
      <c r="A78" s="9"/>
      <c r="B78" s="10"/>
      <c r="C78" s="10"/>
      <c r="D78" s="10"/>
      <c r="E78" s="11"/>
      <c r="F78" s="245"/>
      <c r="G78" s="245"/>
      <c r="H78" s="245"/>
      <c r="I78" s="245"/>
      <c r="J78" s="245"/>
      <c r="K78" s="236"/>
      <c r="L78" s="236"/>
      <c r="M78" s="236"/>
      <c r="N78" s="236"/>
      <c r="O78" s="236"/>
      <c r="P78" s="236"/>
      <c r="Q78" s="236"/>
      <c r="R78" s="236"/>
      <c r="S78" s="236"/>
      <c r="T78" s="236"/>
      <c r="U78" s="236"/>
      <c r="V78" s="236"/>
      <c r="W78" s="236"/>
      <c r="X78" s="236"/>
      <c r="Y78" s="236"/>
      <c r="Z78" s="236"/>
      <c r="AA78" s="236"/>
      <c r="AB78" s="236"/>
    </row>
    <row r="79" spans="1:30" ht="21.65" customHeight="1" x14ac:dyDescent="0.35">
      <c r="A79" s="245"/>
      <c r="B79" s="245"/>
      <c r="C79" s="245"/>
      <c r="D79" s="245"/>
      <c r="E79" s="245"/>
      <c r="F79" s="245"/>
      <c r="G79" s="245"/>
      <c r="H79" s="245"/>
      <c r="I79" s="245"/>
      <c r="J79" s="245"/>
      <c r="K79" s="236"/>
      <c r="L79" s="236"/>
      <c r="M79" s="236"/>
      <c r="N79" s="236"/>
      <c r="O79" s="236"/>
      <c r="P79" s="236"/>
      <c r="Q79" s="236"/>
      <c r="R79" s="236"/>
      <c r="S79" s="236"/>
      <c r="T79" s="236"/>
      <c r="U79" s="236"/>
      <c r="V79" s="236"/>
      <c r="W79" s="236"/>
      <c r="X79" s="236"/>
      <c r="Y79" s="236"/>
      <c r="Z79" s="236"/>
      <c r="AA79" s="236"/>
      <c r="AB79" s="236"/>
    </row>
    <row r="80" spans="1:30" s="4" customFormat="1" ht="19" thickBot="1" x14ac:dyDescent="0.5">
      <c r="A80" s="4" t="s">
        <v>3</v>
      </c>
      <c r="B80" s="4" t="s">
        <v>4</v>
      </c>
      <c r="C80" s="4" t="s">
        <v>230</v>
      </c>
      <c r="D80" s="4" t="s">
        <v>231</v>
      </c>
      <c r="E80" s="4" t="s">
        <v>232</v>
      </c>
      <c r="F80" s="4" t="s">
        <v>233</v>
      </c>
      <c r="G80" s="4" t="s">
        <v>234</v>
      </c>
      <c r="H80" s="4" t="s">
        <v>235</v>
      </c>
      <c r="I80" s="4" t="s">
        <v>236</v>
      </c>
      <c r="J80" s="4" t="s">
        <v>253</v>
      </c>
      <c r="K80" s="4" t="s">
        <v>238</v>
      </c>
      <c r="L80" s="4" t="s">
        <v>6</v>
      </c>
      <c r="M80" s="238"/>
      <c r="N80" s="238"/>
      <c r="O80" s="238"/>
      <c r="P80" s="238"/>
      <c r="Q80" s="238"/>
      <c r="R80" s="238"/>
      <c r="S80" s="238"/>
      <c r="T80" s="238"/>
      <c r="U80" s="238"/>
      <c r="V80" s="238"/>
      <c r="W80" s="238"/>
      <c r="X80" s="238"/>
      <c r="Y80" s="238"/>
      <c r="Z80" s="238"/>
      <c r="AA80" s="238"/>
      <c r="AB80" s="238"/>
      <c r="AC80" s="238"/>
      <c r="AD80" s="238"/>
    </row>
    <row r="81" spans="1:30" ht="77.5" customHeight="1" x14ac:dyDescent="0.45">
      <c r="A81" s="33" t="s">
        <v>262</v>
      </c>
      <c r="B81" s="94" t="s">
        <v>203</v>
      </c>
      <c r="C81" s="7"/>
      <c r="D81" s="7"/>
      <c r="E81" s="7"/>
      <c r="F81" s="7"/>
      <c r="G81" s="7"/>
      <c r="H81" s="7"/>
      <c r="I81" s="7" t="s">
        <v>173</v>
      </c>
      <c r="J81" s="7"/>
      <c r="K81" s="64" t="s">
        <v>33</v>
      </c>
      <c r="L81" s="93" t="s">
        <v>71</v>
      </c>
      <c r="M81" s="236"/>
      <c r="N81" s="236"/>
      <c r="O81" s="236"/>
      <c r="P81" s="236"/>
      <c r="Q81" s="236"/>
      <c r="R81" s="236"/>
      <c r="S81" s="236"/>
      <c r="T81" s="236"/>
      <c r="U81" s="236"/>
      <c r="V81" s="236"/>
      <c r="W81" s="236"/>
      <c r="X81" s="236"/>
      <c r="Y81" s="236"/>
      <c r="Z81" s="236"/>
      <c r="AA81" s="236"/>
      <c r="AB81" s="236"/>
      <c r="AC81" s="236"/>
      <c r="AD81" s="236"/>
    </row>
    <row r="82" spans="1:30" ht="68.150000000000006" customHeight="1" x14ac:dyDescent="0.45">
      <c r="A82" s="34" t="s">
        <v>263</v>
      </c>
      <c r="B82" s="95" t="s">
        <v>205</v>
      </c>
      <c r="I82" t="s">
        <v>173</v>
      </c>
      <c r="K82" s="4" t="s">
        <v>33</v>
      </c>
      <c r="L82" s="61" t="s">
        <v>71</v>
      </c>
      <c r="M82" s="236"/>
      <c r="N82" s="236"/>
      <c r="O82" s="236"/>
      <c r="P82" s="236"/>
      <c r="Q82" s="236"/>
      <c r="R82" s="236"/>
      <c r="S82" s="236"/>
      <c r="T82" s="236"/>
      <c r="U82" s="236"/>
      <c r="V82" s="236"/>
      <c r="W82" s="236"/>
      <c r="X82" s="236"/>
      <c r="Y82" s="236"/>
      <c r="Z82" s="236"/>
      <c r="AA82" s="236"/>
      <c r="AB82" s="236"/>
      <c r="AC82" s="236"/>
      <c r="AD82" s="236"/>
    </row>
    <row r="83" spans="1:30" s="2" customFormat="1" ht="18.5" x14ac:dyDescent="0.45">
      <c r="A83" s="132" t="s">
        <v>402</v>
      </c>
      <c r="B83" s="108" t="s">
        <v>240</v>
      </c>
      <c r="C83" s="106"/>
      <c r="D83" s="106"/>
      <c r="E83" s="106"/>
      <c r="F83" s="106"/>
      <c r="G83" s="106"/>
      <c r="H83" s="106"/>
      <c r="I83" s="106"/>
      <c r="J83" s="106"/>
      <c r="K83" s="110"/>
      <c r="L83" s="111"/>
      <c r="M83" s="21"/>
      <c r="N83" s="21"/>
      <c r="O83" s="21"/>
      <c r="P83" s="21"/>
      <c r="Q83" s="21"/>
      <c r="R83" s="21"/>
      <c r="S83" s="21"/>
      <c r="T83" s="21"/>
      <c r="U83" s="21"/>
      <c r="V83" s="21"/>
      <c r="W83" s="21"/>
      <c r="X83" s="21"/>
      <c r="Y83" s="21"/>
      <c r="Z83" s="21"/>
      <c r="AA83" s="21"/>
      <c r="AB83" s="21"/>
      <c r="AC83" s="21"/>
      <c r="AD83" s="21"/>
    </row>
    <row r="84" spans="1:30" ht="76.5" customHeight="1" x14ac:dyDescent="0.45">
      <c r="A84" s="34" t="s">
        <v>403</v>
      </c>
      <c r="B84" s="95" t="s">
        <v>206</v>
      </c>
      <c r="I84" t="s">
        <v>173</v>
      </c>
      <c r="K84" s="4" t="s">
        <v>33</v>
      </c>
      <c r="L84" s="61" t="s">
        <v>71</v>
      </c>
      <c r="M84" s="236"/>
      <c r="N84" s="236"/>
      <c r="O84" s="236"/>
      <c r="P84" s="236"/>
      <c r="Q84" s="236"/>
      <c r="R84" s="236"/>
      <c r="S84" s="236"/>
      <c r="T84" s="236"/>
      <c r="U84" s="236"/>
      <c r="V84" s="236"/>
      <c r="W84" s="236"/>
      <c r="X84" s="236"/>
      <c r="Y84" s="236"/>
      <c r="Z84" s="236"/>
      <c r="AA84" s="236"/>
      <c r="AB84" s="236"/>
      <c r="AC84" s="236"/>
      <c r="AD84" s="236"/>
    </row>
    <row r="85" spans="1:30" ht="77.5" customHeight="1" x14ac:dyDescent="0.45">
      <c r="A85" s="34" t="s">
        <v>266</v>
      </c>
      <c r="B85" s="95" t="s">
        <v>209</v>
      </c>
      <c r="I85" t="s">
        <v>173</v>
      </c>
      <c r="K85" s="4" t="s">
        <v>33</v>
      </c>
      <c r="L85" s="61" t="s">
        <v>210</v>
      </c>
      <c r="M85" s="236"/>
      <c r="N85" s="236"/>
      <c r="O85" s="236"/>
      <c r="P85" s="236"/>
      <c r="Q85" s="236"/>
      <c r="R85" s="236"/>
      <c r="S85" s="236"/>
      <c r="T85" s="236"/>
      <c r="U85" s="236"/>
      <c r="V85" s="236"/>
      <c r="W85" s="236"/>
      <c r="X85" s="236"/>
      <c r="Y85" s="236"/>
      <c r="Z85" s="236"/>
      <c r="AA85" s="236"/>
      <c r="AB85" s="236"/>
      <c r="AC85" s="236"/>
      <c r="AD85" s="236"/>
    </row>
    <row r="86" spans="1:30" ht="85" customHeight="1" x14ac:dyDescent="0.45">
      <c r="A86" s="34" t="s">
        <v>267</v>
      </c>
      <c r="B86" s="95" t="s">
        <v>211</v>
      </c>
      <c r="I86" t="s">
        <v>173</v>
      </c>
      <c r="K86" s="4" t="s">
        <v>33</v>
      </c>
      <c r="L86" s="61" t="s">
        <v>71</v>
      </c>
      <c r="M86" s="236"/>
      <c r="N86" s="236"/>
      <c r="O86" s="236"/>
      <c r="P86" s="236"/>
      <c r="Q86" s="236"/>
      <c r="R86" s="236"/>
      <c r="S86" s="236"/>
      <c r="T86" s="236"/>
      <c r="U86" s="236"/>
      <c r="V86" s="236"/>
      <c r="W86" s="236"/>
      <c r="X86" s="236"/>
      <c r="Y86" s="236"/>
      <c r="Z86" s="236"/>
      <c r="AA86" s="236"/>
      <c r="AB86" s="236"/>
      <c r="AC86" s="236"/>
      <c r="AD86" s="236"/>
    </row>
    <row r="87" spans="1:30" ht="70.5" customHeight="1" x14ac:dyDescent="0.45">
      <c r="A87" s="34" t="s">
        <v>268</v>
      </c>
      <c r="B87" s="95" t="s">
        <v>212</v>
      </c>
      <c r="I87" t="s">
        <v>173</v>
      </c>
      <c r="K87" s="4" t="s">
        <v>33</v>
      </c>
      <c r="L87" s="61" t="s">
        <v>71</v>
      </c>
      <c r="M87" s="236"/>
      <c r="N87" s="236"/>
      <c r="O87" s="236"/>
      <c r="P87" s="236"/>
      <c r="Q87" s="236"/>
      <c r="R87" s="236"/>
      <c r="S87" s="236"/>
      <c r="T87" s="236"/>
      <c r="U87" s="236"/>
      <c r="V87" s="236"/>
      <c r="W87" s="236"/>
      <c r="X87" s="236"/>
      <c r="Y87" s="236"/>
      <c r="Z87" s="236"/>
      <c r="AA87" s="236"/>
      <c r="AB87" s="236"/>
      <c r="AC87" s="236"/>
      <c r="AD87" s="236"/>
    </row>
    <row r="88" spans="1:30" s="2" customFormat="1" ht="18.5" x14ac:dyDescent="0.45">
      <c r="A88" s="132" t="s">
        <v>269</v>
      </c>
      <c r="B88" s="108" t="s">
        <v>240</v>
      </c>
      <c r="C88" s="106"/>
      <c r="D88" s="106"/>
      <c r="E88" s="106"/>
      <c r="F88" s="106"/>
      <c r="G88" s="106"/>
      <c r="H88" s="106"/>
      <c r="I88" s="106"/>
      <c r="J88" s="106"/>
      <c r="K88" s="110"/>
      <c r="L88" s="111"/>
      <c r="M88" s="21"/>
      <c r="N88" s="21"/>
      <c r="O88" s="21"/>
      <c r="P88" s="21"/>
      <c r="Q88" s="21"/>
      <c r="R88" s="21"/>
      <c r="S88" s="21"/>
      <c r="T88" s="21"/>
      <c r="U88" s="21"/>
      <c r="V88" s="21"/>
      <c r="W88" s="21"/>
      <c r="X88" s="21"/>
      <c r="Y88" s="21"/>
      <c r="Z88" s="21"/>
      <c r="AA88" s="21"/>
      <c r="AB88" s="21"/>
      <c r="AC88" s="21"/>
      <c r="AD88" s="21"/>
    </row>
    <row r="89" spans="1:30" s="2" customFormat="1" ht="18.5" x14ac:dyDescent="0.45">
      <c r="A89" s="132" t="s">
        <v>404</v>
      </c>
      <c r="B89" s="108" t="s">
        <v>240</v>
      </c>
      <c r="C89" s="106"/>
      <c r="D89" s="106"/>
      <c r="E89" s="106"/>
      <c r="F89" s="106"/>
      <c r="G89" s="106"/>
      <c r="H89" s="106"/>
      <c r="I89" s="106"/>
      <c r="J89" s="106"/>
      <c r="K89" s="110"/>
      <c r="L89" s="111"/>
      <c r="M89" s="21"/>
      <c r="N89" s="21"/>
      <c r="O89" s="21"/>
      <c r="P89" s="21"/>
      <c r="Q89" s="21"/>
      <c r="R89" s="21"/>
      <c r="S89" s="21"/>
      <c r="T89" s="21"/>
      <c r="U89" s="21"/>
      <c r="V89" s="21"/>
      <c r="W89" s="21"/>
      <c r="X89" s="21"/>
      <c r="Y89" s="21"/>
      <c r="Z89" s="21"/>
      <c r="AA89" s="21"/>
      <c r="AB89" s="21"/>
      <c r="AC89" s="21"/>
      <c r="AD89" s="21"/>
    </row>
    <row r="90" spans="1:30" s="2" customFormat="1" ht="18.5" x14ac:dyDescent="0.45">
      <c r="A90" s="144" t="s">
        <v>405</v>
      </c>
      <c r="B90" s="113" t="s">
        <v>240</v>
      </c>
      <c r="C90" s="106"/>
      <c r="D90" s="106"/>
      <c r="E90" s="106"/>
      <c r="F90" s="106"/>
      <c r="G90" s="106"/>
      <c r="H90" s="106"/>
      <c r="I90" s="106"/>
      <c r="J90" s="106"/>
      <c r="K90" s="110"/>
      <c r="L90" s="111"/>
      <c r="M90" s="21"/>
      <c r="N90" s="21"/>
      <c r="O90" s="21"/>
      <c r="P90" s="21"/>
      <c r="Q90" s="21"/>
      <c r="R90" s="21"/>
      <c r="S90" s="21"/>
      <c r="T90" s="21"/>
      <c r="U90" s="21"/>
      <c r="V90" s="21"/>
      <c r="W90" s="21"/>
      <c r="X90" s="21"/>
      <c r="Y90" s="21"/>
      <c r="Z90" s="21"/>
      <c r="AA90" s="21"/>
      <c r="AB90" s="21"/>
      <c r="AC90" s="21"/>
      <c r="AD90" s="21"/>
    </row>
    <row r="91" spans="1:30" s="2" customFormat="1" ht="18.5" x14ac:dyDescent="0.45">
      <c r="A91" s="144" t="s">
        <v>317</v>
      </c>
      <c r="B91" s="113" t="s">
        <v>240</v>
      </c>
      <c r="C91" s="106"/>
      <c r="D91" s="106"/>
      <c r="E91" s="106"/>
      <c r="F91" s="106"/>
      <c r="G91" s="106"/>
      <c r="H91" s="106"/>
      <c r="I91" s="106"/>
      <c r="J91" s="106"/>
      <c r="K91" s="110"/>
      <c r="L91" s="111"/>
      <c r="M91" s="21"/>
      <c r="N91" s="21"/>
      <c r="O91" s="21"/>
      <c r="P91" s="21"/>
      <c r="Q91" s="21"/>
      <c r="R91" s="21"/>
      <c r="S91" s="21"/>
      <c r="T91" s="21"/>
      <c r="U91" s="21"/>
      <c r="V91" s="21"/>
      <c r="W91" s="21"/>
      <c r="X91" s="21"/>
      <c r="Y91" s="21"/>
      <c r="Z91" s="21"/>
      <c r="AA91" s="21"/>
      <c r="AB91" s="21"/>
      <c r="AC91" s="21"/>
      <c r="AD91" s="21"/>
    </row>
    <row r="92" spans="1:30" ht="68.5" customHeight="1" x14ac:dyDescent="0.45">
      <c r="A92" s="36" t="s">
        <v>318</v>
      </c>
      <c r="B92" s="95" t="s">
        <v>213</v>
      </c>
      <c r="I92" t="s">
        <v>173</v>
      </c>
      <c r="K92" s="4" t="s">
        <v>33</v>
      </c>
      <c r="L92" s="61" t="s">
        <v>214</v>
      </c>
      <c r="M92" s="236"/>
      <c r="N92" s="236"/>
      <c r="O92" s="236"/>
      <c r="P92" s="236"/>
      <c r="Q92" s="236"/>
      <c r="R92" s="236"/>
      <c r="S92" s="236"/>
      <c r="T92" s="236"/>
      <c r="U92" s="236"/>
      <c r="V92" s="236"/>
      <c r="W92" s="236"/>
      <c r="X92" s="236"/>
      <c r="Y92" s="236"/>
      <c r="Z92" s="236"/>
      <c r="AA92" s="236"/>
      <c r="AB92" s="236"/>
      <c r="AC92" s="236"/>
      <c r="AD92" s="236"/>
    </row>
    <row r="93" spans="1:30" ht="71.150000000000006" customHeight="1" x14ac:dyDescent="0.45">
      <c r="A93" s="36" t="s">
        <v>319</v>
      </c>
      <c r="B93" s="95" t="s">
        <v>215</v>
      </c>
      <c r="I93" t="s">
        <v>173</v>
      </c>
      <c r="K93" s="4" t="s">
        <v>33</v>
      </c>
      <c r="L93" s="61" t="s">
        <v>216</v>
      </c>
      <c r="M93" s="236"/>
      <c r="N93" s="236"/>
      <c r="O93" s="236"/>
      <c r="P93" s="236"/>
      <c r="Q93" s="236"/>
      <c r="R93" s="236"/>
      <c r="S93" s="236"/>
      <c r="T93" s="236"/>
      <c r="U93" s="236"/>
      <c r="V93" s="236"/>
      <c r="W93" s="236"/>
      <c r="X93" s="236"/>
      <c r="Y93" s="236"/>
      <c r="Z93" s="236"/>
      <c r="AA93" s="236"/>
      <c r="AB93" s="236"/>
      <c r="AC93" s="236"/>
      <c r="AD93" s="236"/>
    </row>
    <row r="94" spans="1:30" ht="66.650000000000006" customHeight="1" thickBot="1" x14ac:dyDescent="0.5">
      <c r="A94" s="37" t="s">
        <v>320</v>
      </c>
      <c r="B94" s="96" t="s">
        <v>30</v>
      </c>
      <c r="C94" s="10"/>
      <c r="D94" s="10"/>
      <c r="E94" s="10"/>
      <c r="F94" s="10"/>
      <c r="G94" s="10"/>
      <c r="H94" s="10"/>
      <c r="I94" s="10" t="s">
        <v>31</v>
      </c>
      <c r="J94" s="10"/>
      <c r="K94" s="60" t="s">
        <v>33</v>
      </c>
      <c r="L94" s="62" t="s">
        <v>32</v>
      </c>
      <c r="M94" s="236"/>
      <c r="N94" s="236"/>
      <c r="O94" s="236"/>
      <c r="P94" s="236"/>
      <c r="Q94" s="236"/>
      <c r="R94" s="236"/>
      <c r="S94" s="236"/>
      <c r="T94" s="236"/>
      <c r="U94" s="236"/>
      <c r="V94" s="236"/>
      <c r="W94" s="236"/>
      <c r="X94" s="236"/>
      <c r="Y94" s="236"/>
      <c r="Z94" s="236"/>
      <c r="AA94" s="236"/>
      <c r="AB94" s="236"/>
      <c r="AC94" s="236"/>
      <c r="AD94" s="236"/>
    </row>
    <row r="95" spans="1:30" x14ac:dyDescent="0.35">
      <c r="A95" s="245"/>
      <c r="B95" s="245"/>
      <c r="C95" s="245"/>
      <c r="D95" s="245"/>
      <c r="E95" s="245"/>
      <c r="F95" s="245"/>
      <c r="G95" s="245"/>
      <c r="H95" s="245"/>
      <c r="I95" s="245"/>
      <c r="J95" s="245"/>
      <c r="K95" s="236"/>
      <c r="L95" s="236"/>
      <c r="M95" s="236"/>
      <c r="N95" s="236"/>
      <c r="O95" s="236"/>
      <c r="P95" s="236"/>
      <c r="Q95" s="236"/>
      <c r="R95" s="236"/>
      <c r="S95" s="236"/>
      <c r="T95" s="236"/>
      <c r="U95" s="236"/>
      <c r="V95" s="236"/>
      <c r="W95" s="236"/>
      <c r="X95" s="236"/>
      <c r="Y95" s="236"/>
      <c r="Z95" s="236"/>
      <c r="AA95" s="236"/>
      <c r="AB95" s="236"/>
    </row>
    <row r="96" spans="1:30" ht="8.15" customHeight="1" thickBot="1" x14ac:dyDescent="0.4">
      <c r="A96" s="245"/>
      <c r="B96" s="245"/>
      <c r="C96" s="245"/>
      <c r="D96" s="245"/>
      <c r="E96" s="245"/>
      <c r="F96" s="245"/>
      <c r="G96" s="245"/>
      <c r="H96" s="245"/>
      <c r="I96" s="245"/>
      <c r="J96" s="245"/>
      <c r="K96" s="236"/>
      <c r="L96" s="236"/>
      <c r="M96" s="236"/>
      <c r="N96" s="236"/>
      <c r="O96" s="236"/>
      <c r="P96" s="236"/>
      <c r="Q96" s="236"/>
      <c r="R96" s="236"/>
      <c r="S96" s="236"/>
      <c r="T96" s="236"/>
      <c r="U96" s="236"/>
      <c r="V96" s="236"/>
      <c r="W96" s="236"/>
      <c r="X96" s="236"/>
      <c r="Y96" s="236"/>
      <c r="Z96" s="236"/>
      <c r="AA96" s="236"/>
      <c r="AB96" s="236"/>
    </row>
    <row r="97" spans="1:30" ht="39" customHeight="1" thickBot="1" x14ac:dyDescent="0.8">
      <c r="A97" s="249" t="s">
        <v>406</v>
      </c>
      <c r="B97" s="250"/>
      <c r="C97" s="250"/>
      <c r="D97" s="250"/>
      <c r="E97" s="251"/>
      <c r="F97" s="245"/>
      <c r="G97" s="245"/>
      <c r="H97" s="245"/>
      <c r="I97" s="245"/>
      <c r="J97" s="245"/>
      <c r="K97" s="236"/>
      <c r="L97" s="236"/>
      <c r="M97" s="236"/>
      <c r="N97" s="236"/>
      <c r="O97" s="236"/>
      <c r="P97" s="236"/>
      <c r="Q97" s="236"/>
      <c r="R97" s="236"/>
      <c r="S97" s="236"/>
      <c r="T97" s="236"/>
      <c r="U97" s="236"/>
      <c r="V97" s="236"/>
      <c r="W97" s="236"/>
      <c r="X97" s="236"/>
      <c r="Y97" s="236"/>
      <c r="Z97" s="236"/>
      <c r="AA97" s="236"/>
      <c r="AB97" s="236"/>
    </row>
    <row r="98" spans="1:30" s="4" customFormat="1" ht="19" thickBot="1" x14ac:dyDescent="0.5">
      <c r="A98" s="4" t="s">
        <v>223</v>
      </c>
      <c r="B98" s="4" t="s">
        <v>224</v>
      </c>
      <c r="C98" s="4" t="s">
        <v>225</v>
      </c>
      <c r="D98" s="4" t="s">
        <v>226</v>
      </c>
      <c r="E98" s="4" t="s">
        <v>227</v>
      </c>
      <c r="F98" s="245"/>
      <c r="G98" s="245"/>
      <c r="H98" s="245"/>
      <c r="I98" s="245"/>
      <c r="J98" s="245"/>
      <c r="K98" s="238"/>
      <c r="L98" s="238"/>
      <c r="M98" s="238"/>
      <c r="N98" s="238"/>
      <c r="O98" s="238"/>
      <c r="P98" s="238"/>
      <c r="Q98" s="238"/>
      <c r="R98" s="238"/>
      <c r="S98" s="238"/>
      <c r="T98" s="238"/>
      <c r="U98" s="238"/>
      <c r="V98" s="238"/>
      <c r="W98" s="238"/>
      <c r="X98" s="238"/>
      <c r="Y98" s="238"/>
      <c r="Z98" s="238"/>
      <c r="AA98" s="238"/>
      <c r="AB98" s="238"/>
    </row>
    <row r="99" spans="1:30" ht="87" x14ac:dyDescent="0.35">
      <c r="A99" s="20" t="s">
        <v>407</v>
      </c>
      <c r="B99" s="7" t="s">
        <v>33</v>
      </c>
      <c r="C99" s="7"/>
      <c r="D99" s="7"/>
      <c r="E99" s="8"/>
      <c r="F99" s="245"/>
      <c r="G99" s="245"/>
      <c r="H99" s="245"/>
      <c r="I99" s="245"/>
      <c r="J99" s="245"/>
      <c r="K99" s="236"/>
      <c r="L99" s="236"/>
      <c r="M99" s="236"/>
      <c r="N99" s="236"/>
      <c r="O99" s="236"/>
      <c r="P99" s="236"/>
      <c r="Q99" s="236"/>
      <c r="R99" s="236"/>
      <c r="S99" s="236"/>
      <c r="T99" s="236"/>
      <c r="U99" s="236"/>
      <c r="V99" s="236"/>
      <c r="W99" s="236"/>
      <c r="X99" s="236"/>
      <c r="Y99" s="236"/>
      <c r="Z99" s="236"/>
      <c r="AA99" s="236"/>
      <c r="AB99" s="236"/>
    </row>
    <row r="100" spans="1:30" ht="60.65" customHeight="1" thickBot="1" x14ac:dyDescent="0.4">
      <c r="A100" s="9"/>
      <c r="B100" s="10"/>
      <c r="C100" s="10"/>
      <c r="D100" s="10"/>
      <c r="E100" s="11"/>
      <c r="F100" s="245"/>
      <c r="G100" s="245"/>
      <c r="H100" s="245"/>
      <c r="I100" s="245"/>
      <c r="J100" s="245"/>
      <c r="K100" s="236"/>
      <c r="L100" s="236"/>
      <c r="M100" s="236"/>
      <c r="N100" s="236"/>
      <c r="O100" s="236"/>
      <c r="P100" s="236"/>
      <c r="Q100" s="236"/>
      <c r="R100" s="236"/>
      <c r="S100" s="236"/>
      <c r="T100" s="236"/>
      <c r="U100" s="236"/>
      <c r="V100" s="236"/>
      <c r="W100" s="236"/>
      <c r="X100" s="236"/>
      <c r="Y100" s="236"/>
      <c r="Z100" s="236"/>
      <c r="AA100" s="236"/>
      <c r="AB100" s="236"/>
    </row>
    <row r="101" spans="1:30" x14ac:dyDescent="0.35">
      <c r="A101" s="245"/>
      <c r="B101" s="245"/>
      <c r="C101" s="245"/>
      <c r="D101" s="245"/>
      <c r="E101" s="245"/>
      <c r="F101" s="245"/>
      <c r="G101" s="245"/>
      <c r="H101" s="245"/>
      <c r="I101" s="245"/>
      <c r="J101" s="245"/>
      <c r="K101" s="236"/>
      <c r="L101" s="236"/>
      <c r="M101" s="236"/>
      <c r="N101" s="236"/>
      <c r="O101" s="236"/>
      <c r="P101" s="236"/>
      <c r="Q101" s="236"/>
      <c r="R101" s="236"/>
      <c r="S101" s="236"/>
      <c r="T101" s="236"/>
      <c r="U101" s="236"/>
      <c r="V101" s="236"/>
      <c r="W101" s="236"/>
      <c r="X101" s="236"/>
      <c r="Y101" s="236"/>
      <c r="Z101" s="236"/>
      <c r="AA101" s="236"/>
      <c r="AB101" s="236"/>
    </row>
    <row r="102" spans="1:30" s="4" customFormat="1" ht="18.5" x14ac:dyDescent="0.45">
      <c r="A102" s="4" t="s">
        <v>3</v>
      </c>
      <c r="B102" s="4" t="s">
        <v>4</v>
      </c>
      <c r="C102" s="4" t="s">
        <v>230</v>
      </c>
      <c r="D102" s="4" t="s">
        <v>231</v>
      </c>
      <c r="E102" s="4" t="s">
        <v>232</v>
      </c>
      <c r="F102" s="4" t="s">
        <v>233</v>
      </c>
      <c r="G102" s="4" t="s">
        <v>234</v>
      </c>
      <c r="H102" s="4" t="s">
        <v>235</v>
      </c>
      <c r="I102" s="4" t="s">
        <v>236</v>
      </c>
      <c r="J102" s="4" t="s">
        <v>253</v>
      </c>
      <c r="K102" s="4" t="s">
        <v>238</v>
      </c>
      <c r="L102" s="4" t="s">
        <v>6</v>
      </c>
      <c r="M102" s="238"/>
      <c r="N102" s="238"/>
      <c r="O102" s="238"/>
      <c r="P102" s="238"/>
      <c r="Q102" s="238"/>
      <c r="R102" s="238"/>
      <c r="S102" s="238"/>
      <c r="T102" s="238"/>
      <c r="U102" s="238"/>
      <c r="V102" s="238"/>
      <c r="W102" s="238"/>
      <c r="X102" s="238"/>
      <c r="Y102" s="238"/>
      <c r="Z102" s="238"/>
      <c r="AA102" s="238"/>
      <c r="AB102" s="238"/>
      <c r="AC102" s="238"/>
      <c r="AD102" s="238"/>
    </row>
    <row r="103" spans="1:30" ht="63.65" customHeight="1" x14ac:dyDescent="0.45">
      <c r="A103" s="32" t="s">
        <v>325</v>
      </c>
      <c r="B103" s="95" t="s">
        <v>96</v>
      </c>
      <c r="I103" s="1" t="s">
        <v>75</v>
      </c>
      <c r="K103" s="4" t="s">
        <v>33</v>
      </c>
      <c r="L103" s="1" t="s">
        <v>97</v>
      </c>
      <c r="M103" s="236"/>
      <c r="N103" s="236"/>
      <c r="O103" s="236"/>
      <c r="P103" s="236"/>
      <c r="Q103" s="236"/>
      <c r="R103" s="236"/>
      <c r="S103" s="236"/>
      <c r="T103" s="236"/>
      <c r="U103" s="236"/>
      <c r="V103" s="236"/>
      <c r="W103" s="236"/>
      <c r="X103" s="236"/>
      <c r="Y103" s="236"/>
      <c r="Z103" s="236"/>
      <c r="AA103" s="236"/>
      <c r="AB103" s="236"/>
      <c r="AC103" s="236"/>
      <c r="AD103" s="236"/>
    </row>
    <row r="104" spans="1:30" ht="75" customHeight="1" x14ac:dyDescent="0.45">
      <c r="A104" s="32" t="s">
        <v>326</v>
      </c>
      <c r="B104" s="95" t="s">
        <v>98</v>
      </c>
      <c r="I104" s="1" t="s">
        <v>75</v>
      </c>
      <c r="K104" s="4" t="s">
        <v>33</v>
      </c>
      <c r="L104" s="1" t="s">
        <v>99</v>
      </c>
      <c r="M104" s="236"/>
      <c r="N104" s="236"/>
      <c r="O104" s="236"/>
      <c r="P104" s="236"/>
      <c r="Q104" s="236"/>
      <c r="R104" s="236"/>
      <c r="S104" s="236"/>
      <c r="T104" s="236"/>
      <c r="U104" s="236"/>
      <c r="V104" s="236"/>
      <c r="W104" s="236"/>
      <c r="X104" s="236"/>
      <c r="Y104" s="236"/>
      <c r="Z104" s="236"/>
      <c r="AA104" s="236"/>
      <c r="AB104" s="236"/>
      <c r="AC104" s="236"/>
      <c r="AD104" s="236"/>
    </row>
    <row r="105" spans="1:30" ht="56.5" customHeight="1" x14ac:dyDescent="0.45">
      <c r="A105" s="32" t="s">
        <v>327</v>
      </c>
      <c r="B105" s="95" t="s">
        <v>34</v>
      </c>
      <c r="I105" s="1" t="s">
        <v>31</v>
      </c>
      <c r="K105" s="4" t="s">
        <v>33</v>
      </c>
      <c r="L105" s="1" t="s">
        <v>35</v>
      </c>
      <c r="M105" s="236"/>
      <c r="N105" s="236"/>
      <c r="O105" s="236"/>
      <c r="P105" s="236"/>
      <c r="Q105" s="236"/>
      <c r="R105" s="236"/>
      <c r="S105" s="236"/>
      <c r="T105" s="236"/>
      <c r="U105" s="236"/>
      <c r="V105" s="236"/>
      <c r="W105" s="236"/>
      <c r="X105" s="236"/>
      <c r="Y105" s="236"/>
      <c r="Z105" s="236"/>
      <c r="AA105" s="236"/>
      <c r="AB105" s="236"/>
      <c r="AC105" s="236"/>
      <c r="AD105" s="236"/>
    </row>
    <row r="106" spans="1:30" ht="65.5" customHeight="1" x14ac:dyDescent="0.45">
      <c r="A106" s="32" t="s">
        <v>328</v>
      </c>
      <c r="B106" s="95" t="s">
        <v>102</v>
      </c>
      <c r="I106" s="1" t="s">
        <v>75</v>
      </c>
      <c r="K106" s="4" t="s">
        <v>38</v>
      </c>
      <c r="L106" s="1" t="s">
        <v>103</v>
      </c>
      <c r="M106" s="236"/>
      <c r="N106" s="236"/>
      <c r="O106" s="236"/>
      <c r="P106" s="236"/>
      <c r="Q106" s="236"/>
      <c r="R106" s="236"/>
      <c r="S106" s="236"/>
      <c r="T106" s="236"/>
      <c r="U106" s="236"/>
      <c r="V106" s="236"/>
      <c r="W106" s="236"/>
      <c r="X106" s="236"/>
      <c r="Y106" s="236"/>
      <c r="Z106" s="236"/>
      <c r="AA106" s="236"/>
      <c r="AB106" s="236"/>
      <c r="AC106" s="236"/>
      <c r="AD106" s="236"/>
    </row>
    <row r="107" spans="1:30" ht="66" customHeight="1" x14ac:dyDescent="0.45">
      <c r="A107" s="32" t="s">
        <v>329</v>
      </c>
      <c r="B107" s="95" t="s">
        <v>105</v>
      </c>
      <c r="I107" s="1" t="s">
        <v>75</v>
      </c>
      <c r="K107" s="4" t="s">
        <v>33</v>
      </c>
      <c r="L107" s="1" t="s">
        <v>106</v>
      </c>
      <c r="M107" s="236"/>
      <c r="N107" s="236"/>
      <c r="O107" s="236"/>
      <c r="P107" s="236"/>
      <c r="Q107" s="236"/>
      <c r="R107" s="236"/>
      <c r="S107" s="236"/>
      <c r="T107" s="236"/>
      <c r="U107" s="236"/>
      <c r="V107" s="236"/>
      <c r="W107" s="236"/>
      <c r="X107" s="236"/>
      <c r="Y107" s="236"/>
      <c r="Z107" s="236"/>
      <c r="AA107" s="236"/>
      <c r="AB107" s="236"/>
      <c r="AC107" s="236"/>
      <c r="AD107" s="236"/>
    </row>
    <row r="108" spans="1:30" s="2" customFormat="1" ht="18.5" x14ac:dyDescent="0.45">
      <c r="A108" s="147" t="s">
        <v>330</v>
      </c>
      <c r="B108" s="108" t="s">
        <v>240</v>
      </c>
      <c r="C108" s="106"/>
      <c r="D108" s="106"/>
      <c r="E108" s="106"/>
      <c r="F108" s="106"/>
      <c r="G108" s="106"/>
      <c r="H108" s="106"/>
      <c r="I108" s="109"/>
      <c r="J108" s="106"/>
      <c r="K108" s="110"/>
      <c r="L108" s="109"/>
      <c r="M108" s="21"/>
      <c r="N108" s="21"/>
      <c r="O108" s="21"/>
      <c r="P108" s="21"/>
      <c r="Q108" s="21"/>
      <c r="R108" s="21"/>
      <c r="S108" s="21"/>
      <c r="T108" s="21"/>
      <c r="U108" s="21"/>
      <c r="V108" s="21"/>
      <c r="W108" s="21"/>
      <c r="X108" s="21"/>
      <c r="Y108" s="21"/>
      <c r="Z108" s="21"/>
      <c r="AA108" s="21"/>
      <c r="AB108" s="21"/>
      <c r="AC108" s="21"/>
      <c r="AD108" s="21"/>
    </row>
    <row r="109" spans="1:30" ht="102.5" x14ac:dyDescent="0.45">
      <c r="A109" s="32" t="s">
        <v>331</v>
      </c>
      <c r="B109" s="95" t="s">
        <v>219</v>
      </c>
      <c r="I109" s="1" t="s">
        <v>173</v>
      </c>
      <c r="K109" s="4" t="s">
        <v>33</v>
      </c>
      <c r="L109" s="1" t="s">
        <v>71</v>
      </c>
      <c r="M109" s="236"/>
      <c r="N109" s="236"/>
      <c r="O109" s="236"/>
      <c r="P109" s="236"/>
      <c r="Q109" s="236"/>
      <c r="R109" s="236"/>
      <c r="S109" s="236"/>
      <c r="T109" s="236"/>
      <c r="U109" s="236"/>
      <c r="V109" s="236"/>
      <c r="W109" s="236"/>
      <c r="X109" s="236"/>
      <c r="Y109" s="236"/>
      <c r="Z109" s="236"/>
      <c r="AA109" s="236"/>
      <c r="AB109" s="236"/>
      <c r="AC109" s="236"/>
      <c r="AD109" s="236"/>
    </row>
    <row r="110" spans="1:30" ht="102.5" x14ac:dyDescent="0.45">
      <c r="A110" s="32" t="s">
        <v>333</v>
      </c>
      <c r="B110" s="95" t="s">
        <v>221</v>
      </c>
      <c r="I110" s="1" t="s">
        <v>173</v>
      </c>
      <c r="K110" s="4" t="s">
        <v>33</v>
      </c>
      <c r="L110" s="1" t="s">
        <v>71</v>
      </c>
      <c r="M110" s="236"/>
      <c r="N110" s="236"/>
      <c r="O110" s="236"/>
      <c r="P110" s="236"/>
      <c r="Q110" s="236"/>
      <c r="R110" s="236"/>
      <c r="S110" s="236"/>
      <c r="T110" s="236"/>
      <c r="U110" s="236"/>
      <c r="V110" s="236"/>
      <c r="W110" s="236"/>
      <c r="X110" s="236"/>
      <c r="Y110" s="236"/>
      <c r="Z110" s="236"/>
      <c r="AA110" s="236"/>
      <c r="AB110" s="236"/>
      <c r="AC110" s="236"/>
      <c r="AD110" s="236"/>
    </row>
    <row r="111" spans="1:30" s="245" customFormat="1" x14ac:dyDescent="0.35"/>
    <row r="112" spans="1:30" s="245" customFormat="1" ht="38.5" customHeight="1" thickBot="1" x14ac:dyDescent="0.4"/>
    <row r="113" spans="1:30" ht="41.15" customHeight="1" x14ac:dyDescent="0.75">
      <c r="A113" s="265" t="s">
        <v>408</v>
      </c>
      <c r="B113" s="266"/>
      <c r="C113" s="266"/>
      <c r="D113" s="266"/>
      <c r="E113" s="31"/>
      <c r="F113" s="245"/>
      <c r="G113" s="245"/>
      <c r="H113" s="245"/>
      <c r="I113" s="245"/>
      <c r="J113" s="245"/>
      <c r="K113" s="236"/>
      <c r="L113" s="236"/>
      <c r="M113" s="236"/>
      <c r="N113" s="236"/>
      <c r="O113" s="236"/>
      <c r="P113" s="236"/>
      <c r="Q113" s="236"/>
      <c r="R113" s="236"/>
      <c r="S113" s="236"/>
      <c r="T113" s="236"/>
      <c r="U113" s="236"/>
      <c r="V113" s="236"/>
      <c r="W113" s="236"/>
      <c r="X113" s="236"/>
      <c r="Y113" s="236"/>
      <c r="Z113" s="236"/>
      <c r="AA113" s="236"/>
      <c r="AB113" s="236"/>
    </row>
    <row r="114" spans="1:30" s="4" customFormat="1" ht="18.5" x14ac:dyDescent="0.45">
      <c r="A114" s="16" t="s">
        <v>223</v>
      </c>
      <c r="B114" s="4" t="s">
        <v>224</v>
      </c>
      <c r="C114" s="4" t="s">
        <v>225</v>
      </c>
      <c r="D114" s="4" t="s">
        <v>226</v>
      </c>
      <c r="E114" s="17" t="s">
        <v>227</v>
      </c>
      <c r="F114" s="245"/>
      <c r="G114" s="245"/>
      <c r="H114" s="245"/>
      <c r="I114" s="245"/>
      <c r="J114" s="245"/>
      <c r="K114" s="238"/>
      <c r="L114" s="238"/>
      <c r="M114" s="238"/>
      <c r="N114" s="238"/>
      <c r="O114" s="238"/>
      <c r="P114" s="238"/>
      <c r="Q114" s="238"/>
      <c r="R114" s="238"/>
      <c r="S114" s="238"/>
      <c r="T114" s="238"/>
      <c r="U114" s="238"/>
      <c r="V114" s="238"/>
      <c r="W114" s="238"/>
      <c r="X114" s="238"/>
      <c r="Y114" s="238"/>
      <c r="Z114" s="238"/>
      <c r="AA114" s="238"/>
      <c r="AB114" s="238"/>
    </row>
    <row r="115" spans="1:30" ht="47.5" customHeight="1" x14ac:dyDescent="0.35">
      <c r="A115" s="18" t="s">
        <v>409</v>
      </c>
      <c r="E115" s="14"/>
      <c r="F115" s="245"/>
      <c r="G115" s="245"/>
      <c r="H115" s="245"/>
      <c r="I115" s="245"/>
      <c r="J115" s="245"/>
      <c r="K115" s="236"/>
      <c r="L115" s="236"/>
      <c r="M115" s="236"/>
      <c r="N115" s="236"/>
      <c r="O115" s="236"/>
      <c r="P115" s="236"/>
      <c r="Q115" s="236"/>
      <c r="R115" s="236"/>
      <c r="S115" s="236"/>
      <c r="T115" s="236"/>
      <c r="U115" s="236"/>
      <c r="V115" s="236"/>
      <c r="W115" s="236"/>
      <c r="X115" s="236"/>
      <c r="Y115" s="236"/>
      <c r="Z115" s="236"/>
      <c r="AA115" s="236"/>
      <c r="AB115" s="236"/>
    </row>
    <row r="116" spans="1:30" ht="48.65" customHeight="1" thickBot="1" x14ac:dyDescent="0.4">
      <c r="A116" s="9"/>
      <c r="B116" s="10"/>
      <c r="C116" s="10"/>
      <c r="D116" s="10"/>
      <c r="E116" s="11"/>
      <c r="F116" s="245"/>
      <c r="G116" s="245"/>
      <c r="H116" s="245"/>
      <c r="I116" s="245"/>
      <c r="J116" s="245"/>
      <c r="K116" s="236"/>
      <c r="L116" s="236"/>
      <c r="M116" s="236"/>
      <c r="N116" s="236"/>
      <c r="O116" s="236"/>
      <c r="P116" s="236"/>
      <c r="Q116" s="236"/>
      <c r="R116" s="236"/>
      <c r="S116" s="236"/>
      <c r="T116" s="236"/>
      <c r="U116" s="236"/>
      <c r="V116" s="236"/>
      <c r="W116" s="236"/>
      <c r="X116" s="236"/>
      <c r="Y116" s="236"/>
      <c r="Z116" s="236"/>
      <c r="AA116" s="236"/>
      <c r="AB116" s="236"/>
    </row>
    <row r="117" spans="1:30" x14ac:dyDescent="0.35">
      <c r="A117" s="245"/>
      <c r="B117" s="245"/>
      <c r="C117" s="245"/>
      <c r="D117" s="245"/>
      <c r="E117" s="245"/>
      <c r="F117" s="245"/>
      <c r="G117" s="245"/>
      <c r="H117" s="245"/>
      <c r="I117" s="245"/>
      <c r="J117" s="245"/>
      <c r="K117" s="236"/>
      <c r="L117" s="236"/>
      <c r="M117" s="236"/>
      <c r="N117" s="236"/>
      <c r="O117" s="236"/>
      <c r="P117" s="236"/>
      <c r="Q117" s="236"/>
      <c r="R117" s="236"/>
      <c r="S117" s="236"/>
      <c r="T117" s="236"/>
      <c r="U117" s="236"/>
      <c r="V117" s="236"/>
      <c r="W117" s="236"/>
      <c r="X117" s="236"/>
      <c r="Y117" s="236"/>
      <c r="Z117" s="236"/>
      <c r="AA117" s="236"/>
      <c r="AB117" s="236"/>
    </row>
    <row r="118" spans="1:30" s="4" customFormat="1" ht="19" thickBot="1" x14ac:dyDescent="0.5">
      <c r="A118" s="4" t="s">
        <v>3</v>
      </c>
      <c r="B118" s="4" t="s">
        <v>4</v>
      </c>
      <c r="C118" s="4" t="s">
        <v>230</v>
      </c>
      <c r="D118" s="4" t="s">
        <v>231</v>
      </c>
      <c r="E118" s="4" t="s">
        <v>232</v>
      </c>
      <c r="F118" s="4" t="s">
        <v>233</v>
      </c>
      <c r="G118" s="4" t="s">
        <v>234</v>
      </c>
      <c r="H118" s="4" t="s">
        <v>235</v>
      </c>
      <c r="I118" s="4" t="s">
        <v>236</v>
      </c>
      <c r="J118" s="4" t="s">
        <v>253</v>
      </c>
      <c r="K118" s="4" t="s">
        <v>238</v>
      </c>
      <c r="L118" s="4" t="s">
        <v>6</v>
      </c>
      <c r="M118" s="238"/>
      <c r="N118" s="238"/>
      <c r="O118" s="238"/>
      <c r="P118" s="238"/>
      <c r="Q118" s="238"/>
      <c r="R118" s="238"/>
      <c r="S118" s="238"/>
      <c r="T118" s="238"/>
      <c r="U118" s="238"/>
      <c r="V118" s="238"/>
      <c r="W118" s="238"/>
      <c r="X118" s="238"/>
      <c r="Y118" s="238"/>
      <c r="Z118" s="238"/>
      <c r="AA118" s="238"/>
      <c r="AB118" s="238"/>
      <c r="AC118" s="238"/>
      <c r="AD118" s="238"/>
    </row>
    <row r="119" spans="1:30" s="2" customFormat="1" ht="18.5" x14ac:dyDescent="0.45">
      <c r="A119" s="131" t="s">
        <v>337</v>
      </c>
      <c r="B119" s="122" t="s">
        <v>240</v>
      </c>
      <c r="C119" s="116"/>
      <c r="D119" s="116"/>
      <c r="E119" s="116"/>
      <c r="F119" s="116"/>
      <c r="G119" s="116"/>
      <c r="H119" s="116"/>
      <c r="I119" s="124"/>
      <c r="J119" s="116"/>
      <c r="K119" s="118"/>
      <c r="L119" s="148"/>
      <c r="M119" s="21"/>
      <c r="N119" s="21"/>
      <c r="O119" s="21"/>
      <c r="P119" s="21"/>
      <c r="Q119" s="21"/>
      <c r="R119" s="21"/>
      <c r="S119" s="21"/>
      <c r="T119" s="21"/>
      <c r="U119" s="21"/>
      <c r="V119" s="21"/>
      <c r="W119" s="21"/>
      <c r="X119" s="21"/>
      <c r="Y119" s="21"/>
      <c r="Z119" s="21"/>
      <c r="AA119" s="21"/>
      <c r="AB119" s="21"/>
      <c r="AC119" s="21"/>
      <c r="AD119" s="21"/>
    </row>
    <row r="120" spans="1:30" s="2" customFormat="1" ht="18.5" x14ac:dyDescent="0.45">
      <c r="A120" s="132" t="s">
        <v>338</v>
      </c>
      <c r="B120" s="108" t="s">
        <v>240</v>
      </c>
      <c r="C120" s="106"/>
      <c r="D120" s="106"/>
      <c r="E120" s="106"/>
      <c r="F120" s="106"/>
      <c r="G120" s="106"/>
      <c r="H120" s="106"/>
      <c r="I120" s="109"/>
      <c r="J120" s="106"/>
      <c r="K120" s="110"/>
      <c r="L120" s="111"/>
      <c r="M120" s="21"/>
      <c r="N120" s="21"/>
      <c r="O120" s="21"/>
      <c r="P120" s="21"/>
      <c r="Q120" s="21"/>
      <c r="R120" s="21"/>
      <c r="S120" s="21"/>
      <c r="T120" s="21"/>
      <c r="U120" s="21"/>
      <c r="V120" s="21"/>
      <c r="W120" s="21"/>
      <c r="X120" s="21"/>
      <c r="Y120" s="21"/>
      <c r="Z120" s="21"/>
      <c r="AA120" s="21"/>
      <c r="AB120" s="21"/>
      <c r="AC120" s="21"/>
      <c r="AD120" s="21"/>
    </row>
    <row r="121" spans="1:30" s="2" customFormat="1" ht="18.5" x14ac:dyDescent="0.45">
      <c r="A121" s="132" t="s">
        <v>339</v>
      </c>
      <c r="B121" s="108" t="s">
        <v>240</v>
      </c>
      <c r="C121" s="106"/>
      <c r="D121" s="106"/>
      <c r="E121" s="106"/>
      <c r="F121" s="106"/>
      <c r="G121" s="106"/>
      <c r="H121" s="106"/>
      <c r="I121" s="109"/>
      <c r="J121" s="106"/>
      <c r="K121" s="110"/>
      <c r="L121" s="111"/>
      <c r="M121" s="21"/>
      <c r="N121" s="21"/>
      <c r="O121" s="21"/>
      <c r="P121" s="21"/>
      <c r="Q121" s="21"/>
      <c r="R121" s="21"/>
      <c r="S121" s="21"/>
      <c r="T121" s="21"/>
      <c r="U121" s="21"/>
      <c r="V121" s="21"/>
      <c r="W121" s="21"/>
      <c r="X121" s="21"/>
      <c r="Y121" s="21"/>
      <c r="Z121" s="21"/>
      <c r="AA121" s="21"/>
      <c r="AB121" s="21"/>
      <c r="AC121" s="21"/>
      <c r="AD121" s="21"/>
    </row>
    <row r="122" spans="1:30" s="2" customFormat="1" ht="18.5" x14ac:dyDescent="0.45">
      <c r="A122" s="132" t="s">
        <v>340</v>
      </c>
      <c r="B122" s="108" t="s">
        <v>240</v>
      </c>
      <c r="C122" s="106"/>
      <c r="D122" s="106"/>
      <c r="E122" s="106"/>
      <c r="F122" s="106"/>
      <c r="G122" s="106"/>
      <c r="H122" s="106"/>
      <c r="I122" s="109"/>
      <c r="J122" s="106"/>
      <c r="K122" s="110"/>
      <c r="L122" s="111"/>
      <c r="M122" s="21"/>
      <c r="N122" s="21"/>
      <c r="O122" s="21"/>
      <c r="P122" s="21"/>
      <c r="Q122" s="21"/>
      <c r="R122" s="21"/>
      <c r="S122" s="21"/>
      <c r="T122" s="21"/>
      <c r="U122" s="21"/>
      <c r="V122" s="21"/>
      <c r="W122" s="21"/>
      <c r="X122" s="21"/>
      <c r="Y122" s="21"/>
      <c r="Z122" s="21"/>
      <c r="AA122" s="21"/>
      <c r="AB122" s="21"/>
      <c r="AC122" s="21"/>
      <c r="AD122" s="21"/>
    </row>
    <row r="123" spans="1:30" ht="69.650000000000006" customHeight="1" x14ac:dyDescent="0.45">
      <c r="A123" s="34" t="s">
        <v>341</v>
      </c>
      <c r="B123" s="95" t="s">
        <v>108</v>
      </c>
      <c r="I123" s="1" t="s">
        <v>75</v>
      </c>
      <c r="K123" s="4" t="s">
        <v>33</v>
      </c>
      <c r="L123" s="61" t="s">
        <v>109</v>
      </c>
      <c r="M123" s="236"/>
      <c r="N123" s="236"/>
      <c r="O123" s="236"/>
      <c r="P123" s="236"/>
      <c r="Q123" s="236"/>
      <c r="R123" s="236"/>
      <c r="S123" s="236"/>
      <c r="T123" s="236"/>
      <c r="U123" s="236"/>
      <c r="V123" s="236"/>
      <c r="W123" s="236"/>
      <c r="X123" s="236"/>
      <c r="Y123" s="236"/>
      <c r="Z123" s="236"/>
      <c r="AA123" s="236"/>
      <c r="AB123" s="236"/>
      <c r="AC123" s="236"/>
      <c r="AD123" s="236"/>
    </row>
    <row r="124" spans="1:30" ht="81" customHeight="1" thickBot="1" x14ac:dyDescent="0.5">
      <c r="A124" s="39" t="s">
        <v>342</v>
      </c>
      <c r="B124" s="96" t="s">
        <v>111</v>
      </c>
      <c r="C124" s="10"/>
      <c r="D124" s="10"/>
      <c r="E124" s="10"/>
      <c r="F124" s="10"/>
      <c r="G124" s="10"/>
      <c r="H124" s="10"/>
      <c r="I124" s="66" t="s">
        <v>75</v>
      </c>
      <c r="J124" s="10"/>
      <c r="K124" s="60" t="s">
        <v>33</v>
      </c>
      <c r="L124" s="62" t="s">
        <v>112</v>
      </c>
      <c r="M124" s="236"/>
      <c r="N124" s="236"/>
      <c r="O124" s="236"/>
      <c r="P124" s="236"/>
      <c r="Q124" s="236"/>
      <c r="R124" s="236"/>
      <c r="S124" s="236"/>
      <c r="T124" s="236"/>
      <c r="U124" s="236"/>
      <c r="V124" s="236"/>
      <c r="W124" s="236"/>
      <c r="X124" s="236"/>
      <c r="Y124" s="236"/>
      <c r="Z124" s="236"/>
      <c r="AA124" s="236"/>
      <c r="AB124" s="236"/>
      <c r="AC124" s="236"/>
      <c r="AD124" s="236"/>
    </row>
    <row r="125" spans="1:30" x14ac:dyDescent="0.35">
      <c r="A125" s="245"/>
      <c r="B125" s="245"/>
      <c r="C125" s="245"/>
      <c r="D125" s="245"/>
      <c r="E125" s="245"/>
      <c r="F125" s="245"/>
      <c r="G125" s="245"/>
      <c r="H125" s="245"/>
      <c r="I125" s="245"/>
      <c r="J125" s="245"/>
      <c r="K125" s="236"/>
      <c r="L125" s="236"/>
      <c r="M125" s="236"/>
      <c r="N125" s="236"/>
      <c r="O125" s="236"/>
      <c r="P125" s="236"/>
      <c r="Q125" s="236"/>
      <c r="R125" s="236"/>
      <c r="S125" s="236"/>
      <c r="T125" s="236"/>
      <c r="U125" s="236"/>
      <c r="V125" s="236"/>
      <c r="W125" s="236"/>
      <c r="X125" s="236"/>
      <c r="Y125" s="236"/>
      <c r="Z125" s="236"/>
      <c r="AA125" s="236"/>
      <c r="AB125" s="236"/>
    </row>
    <row r="126" spans="1:30" x14ac:dyDescent="0.35">
      <c r="A126" s="245"/>
      <c r="B126" s="245"/>
      <c r="C126" s="245"/>
      <c r="D126" s="245"/>
      <c r="E126" s="245"/>
      <c r="F126" s="245"/>
      <c r="G126" s="245"/>
      <c r="H126" s="245"/>
      <c r="I126" s="245"/>
      <c r="J126" s="245"/>
      <c r="K126" s="236"/>
      <c r="L126" s="236"/>
      <c r="M126" s="236"/>
      <c r="N126" s="236"/>
      <c r="O126" s="236"/>
      <c r="P126" s="236"/>
      <c r="Q126" s="236"/>
      <c r="R126" s="236"/>
      <c r="S126" s="236"/>
      <c r="T126" s="236"/>
      <c r="U126" s="236"/>
      <c r="V126" s="236"/>
      <c r="W126" s="236"/>
      <c r="X126" s="236"/>
      <c r="Y126" s="236"/>
      <c r="Z126" s="236"/>
      <c r="AA126" s="236"/>
      <c r="AB126" s="236"/>
    </row>
    <row r="127" spans="1:30" x14ac:dyDescent="0.35">
      <c r="A127" s="245"/>
      <c r="B127" s="245"/>
      <c r="C127" s="245"/>
      <c r="D127" s="245"/>
      <c r="E127" s="245"/>
      <c r="F127" s="245"/>
      <c r="G127" s="245"/>
      <c r="H127" s="245"/>
      <c r="I127" s="245"/>
      <c r="J127" s="245"/>
      <c r="K127" s="236"/>
      <c r="L127" s="236"/>
      <c r="M127" s="236"/>
      <c r="N127" s="236"/>
      <c r="O127" s="236"/>
      <c r="P127" s="236"/>
      <c r="Q127" s="236"/>
      <c r="R127" s="236"/>
      <c r="S127" s="236"/>
      <c r="T127" s="236"/>
      <c r="U127" s="236"/>
      <c r="V127" s="236"/>
      <c r="W127" s="236"/>
      <c r="X127" s="236"/>
      <c r="Y127" s="236"/>
      <c r="Z127" s="236"/>
      <c r="AA127" s="236"/>
      <c r="AB127" s="236"/>
    </row>
    <row r="128" spans="1:30" x14ac:dyDescent="0.35">
      <c r="A128" s="245"/>
      <c r="B128" s="245"/>
      <c r="C128" s="245"/>
      <c r="D128" s="245"/>
      <c r="E128" s="245"/>
      <c r="F128" s="245"/>
      <c r="G128" s="245"/>
      <c r="H128" s="245"/>
      <c r="I128" s="245"/>
      <c r="J128" s="245"/>
      <c r="K128" s="236"/>
      <c r="L128" s="236"/>
      <c r="M128" s="236"/>
      <c r="N128" s="236"/>
      <c r="O128" s="236"/>
      <c r="P128" s="236"/>
      <c r="Q128" s="236"/>
      <c r="R128" s="236"/>
      <c r="S128" s="236"/>
      <c r="T128" s="236"/>
      <c r="U128" s="236"/>
      <c r="V128" s="236"/>
      <c r="W128" s="236"/>
      <c r="X128" s="236"/>
      <c r="Y128" s="236"/>
      <c r="Z128" s="236"/>
      <c r="AA128" s="236"/>
      <c r="AB128" s="236"/>
    </row>
    <row r="129" spans="1:28" x14ac:dyDescent="0.35">
      <c r="A129" s="245"/>
      <c r="B129" s="245"/>
      <c r="C129" s="245"/>
      <c r="D129" s="245"/>
      <c r="E129" s="245"/>
      <c r="F129" s="245"/>
      <c r="G129" s="245"/>
      <c r="H129" s="245"/>
      <c r="I129" s="245"/>
      <c r="J129" s="245"/>
      <c r="K129" s="236"/>
      <c r="L129" s="236"/>
      <c r="M129" s="236"/>
      <c r="N129" s="236"/>
      <c r="O129" s="236"/>
      <c r="P129" s="236"/>
      <c r="Q129" s="236"/>
      <c r="R129" s="236"/>
      <c r="S129" s="236"/>
      <c r="T129" s="236"/>
      <c r="U129" s="236"/>
      <c r="V129" s="236"/>
      <c r="W129" s="236"/>
      <c r="X129" s="236"/>
      <c r="Y129" s="236"/>
      <c r="Z129" s="236"/>
      <c r="AA129" s="236"/>
      <c r="AB129" s="236"/>
    </row>
    <row r="130" spans="1:28" x14ac:dyDescent="0.35">
      <c r="A130" s="245"/>
      <c r="B130" s="245"/>
      <c r="C130" s="245"/>
      <c r="D130" s="245"/>
      <c r="E130" s="245"/>
      <c r="F130" s="245"/>
      <c r="G130" s="245"/>
      <c r="H130" s="245"/>
      <c r="I130" s="245"/>
      <c r="J130" s="245"/>
      <c r="K130" s="236"/>
      <c r="L130" s="236"/>
      <c r="M130" s="236"/>
      <c r="N130" s="236"/>
      <c r="O130" s="236"/>
      <c r="P130" s="236"/>
      <c r="Q130" s="236"/>
      <c r="R130" s="236"/>
      <c r="S130" s="236"/>
      <c r="T130" s="236"/>
      <c r="U130" s="236"/>
      <c r="V130" s="236"/>
      <c r="W130" s="236"/>
      <c r="X130" s="236"/>
      <c r="Y130" s="236"/>
      <c r="Z130" s="236"/>
      <c r="AA130" s="236"/>
      <c r="AB130" s="236"/>
    </row>
    <row r="131" spans="1:28" x14ac:dyDescent="0.35">
      <c r="A131" s="245"/>
      <c r="B131" s="245"/>
      <c r="C131" s="245"/>
      <c r="D131" s="245"/>
      <c r="E131" s="245"/>
      <c r="F131" s="245"/>
      <c r="G131" s="245"/>
      <c r="H131" s="245"/>
      <c r="I131" s="245"/>
      <c r="J131" s="245"/>
      <c r="K131" s="236"/>
      <c r="L131" s="236"/>
      <c r="M131" s="236"/>
      <c r="N131" s="236"/>
      <c r="O131" s="236"/>
      <c r="P131" s="236"/>
      <c r="Q131" s="236"/>
      <c r="R131" s="236"/>
      <c r="S131" s="236"/>
      <c r="T131" s="236"/>
      <c r="U131" s="236"/>
      <c r="V131" s="236"/>
      <c r="W131" s="236"/>
      <c r="X131" s="236"/>
      <c r="Y131" s="236"/>
      <c r="Z131" s="236"/>
      <c r="AA131" s="236"/>
      <c r="AB131" s="236"/>
    </row>
    <row r="132" spans="1:28" x14ac:dyDescent="0.35">
      <c r="A132" s="245"/>
      <c r="B132" s="245"/>
      <c r="C132" s="245"/>
      <c r="D132" s="245"/>
      <c r="E132" s="245"/>
      <c r="F132" s="245"/>
      <c r="G132" s="245"/>
      <c r="H132" s="245"/>
      <c r="I132" s="245"/>
      <c r="J132" s="245"/>
      <c r="K132" s="236"/>
      <c r="L132" s="236"/>
      <c r="M132" s="236"/>
      <c r="N132" s="236"/>
      <c r="O132" s="236"/>
      <c r="P132" s="236"/>
      <c r="Q132" s="236"/>
      <c r="R132" s="236"/>
      <c r="S132" s="236"/>
      <c r="T132" s="236"/>
      <c r="U132" s="236"/>
      <c r="V132" s="236"/>
      <c r="W132" s="236"/>
      <c r="X132" s="236"/>
      <c r="Y132" s="236"/>
      <c r="Z132" s="236"/>
      <c r="AA132" s="236"/>
      <c r="AB132" s="236"/>
    </row>
    <row r="133" spans="1:28" x14ac:dyDescent="0.35">
      <c r="A133" s="245"/>
      <c r="B133" s="245"/>
      <c r="C133" s="245"/>
      <c r="D133" s="245"/>
      <c r="E133" s="245"/>
      <c r="F133" s="245"/>
      <c r="G133" s="245"/>
      <c r="H133" s="245"/>
      <c r="I133" s="245"/>
      <c r="J133" s="245"/>
      <c r="K133" s="236"/>
      <c r="L133" s="236"/>
      <c r="M133" s="236"/>
      <c r="N133" s="236"/>
      <c r="O133" s="236"/>
      <c r="P133" s="236"/>
      <c r="Q133" s="236"/>
      <c r="R133" s="236"/>
      <c r="S133" s="236"/>
      <c r="T133" s="236"/>
      <c r="U133" s="236"/>
      <c r="V133" s="236"/>
      <c r="W133" s="236"/>
      <c r="X133" s="236"/>
      <c r="Y133" s="236"/>
      <c r="Z133" s="236"/>
      <c r="AA133" s="236"/>
      <c r="AB133" s="236"/>
    </row>
    <row r="134" spans="1:28" x14ac:dyDescent="0.35">
      <c r="A134" s="245"/>
      <c r="B134" s="245"/>
      <c r="C134" s="245"/>
      <c r="D134" s="245"/>
      <c r="E134" s="245"/>
      <c r="F134" s="245"/>
      <c r="G134" s="245"/>
      <c r="H134" s="245"/>
      <c r="I134" s="245"/>
      <c r="J134" s="245"/>
      <c r="K134" s="236"/>
      <c r="L134" s="236"/>
      <c r="M134" s="236"/>
      <c r="N134" s="236"/>
      <c r="O134" s="236"/>
      <c r="P134" s="236"/>
      <c r="Q134" s="236"/>
      <c r="R134" s="236"/>
      <c r="S134" s="236"/>
      <c r="T134" s="236"/>
      <c r="U134" s="236"/>
      <c r="V134" s="236"/>
      <c r="W134" s="236"/>
      <c r="X134" s="236"/>
      <c r="Y134" s="236"/>
      <c r="Z134" s="236"/>
      <c r="AA134" s="236"/>
      <c r="AB134" s="236"/>
    </row>
    <row r="135" spans="1:28" x14ac:dyDescent="0.35">
      <c r="A135" s="245"/>
      <c r="B135" s="245"/>
      <c r="C135" s="245"/>
      <c r="D135" s="245"/>
      <c r="E135" s="245"/>
      <c r="F135" s="245"/>
      <c r="G135" s="245"/>
      <c r="H135" s="245"/>
      <c r="I135" s="245"/>
      <c r="J135" s="245"/>
      <c r="K135" s="236"/>
      <c r="L135" s="236"/>
      <c r="M135" s="236"/>
      <c r="N135" s="236"/>
      <c r="O135" s="236"/>
      <c r="P135" s="236"/>
      <c r="Q135" s="236"/>
      <c r="R135" s="236"/>
      <c r="S135" s="236"/>
      <c r="T135" s="236"/>
      <c r="U135" s="236"/>
      <c r="V135" s="236"/>
      <c r="W135" s="236"/>
      <c r="X135" s="236"/>
      <c r="Y135" s="236"/>
      <c r="Z135" s="236"/>
      <c r="AA135" s="236"/>
      <c r="AB135" s="236"/>
    </row>
    <row r="136" spans="1:28" x14ac:dyDescent="0.35">
      <c r="A136" s="245"/>
      <c r="B136" s="245"/>
      <c r="C136" s="245"/>
      <c r="D136" s="245"/>
      <c r="E136" s="245"/>
      <c r="F136" s="245"/>
      <c r="G136" s="245"/>
      <c r="H136" s="245"/>
      <c r="I136" s="245"/>
      <c r="J136" s="245"/>
      <c r="K136" s="236"/>
      <c r="L136" s="236"/>
      <c r="M136" s="236"/>
      <c r="N136" s="236"/>
      <c r="O136" s="236"/>
      <c r="P136" s="236"/>
      <c r="Q136" s="236"/>
      <c r="R136" s="236"/>
      <c r="S136" s="236"/>
      <c r="T136" s="236"/>
      <c r="U136" s="236"/>
      <c r="V136" s="236"/>
      <c r="W136" s="236"/>
      <c r="X136" s="236"/>
      <c r="Y136" s="236"/>
      <c r="Z136" s="236"/>
      <c r="AA136" s="236"/>
      <c r="AB136" s="236"/>
    </row>
    <row r="137" spans="1:28" x14ac:dyDescent="0.35">
      <c r="A137" s="245"/>
      <c r="B137" s="245"/>
      <c r="C137" s="245"/>
      <c r="D137" s="245"/>
      <c r="E137" s="245"/>
      <c r="F137" s="245"/>
      <c r="G137" s="245"/>
      <c r="H137" s="245"/>
      <c r="I137" s="245"/>
      <c r="J137" s="245"/>
      <c r="K137" s="236"/>
      <c r="L137" s="236"/>
      <c r="M137" s="236"/>
      <c r="N137" s="236"/>
      <c r="O137" s="236"/>
      <c r="P137" s="236"/>
      <c r="Q137" s="236"/>
      <c r="R137" s="236"/>
      <c r="S137" s="236"/>
      <c r="T137" s="236"/>
      <c r="U137" s="236"/>
      <c r="V137" s="236"/>
      <c r="W137" s="236"/>
      <c r="X137" s="236"/>
      <c r="Y137" s="236"/>
      <c r="Z137" s="236"/>
      <c r="AA137" s="236"/>
      <c r="AB137" s="236"/>
    </row>
    <row r="138" spans="1:28" x14ac:dyDescent="0.35">
      <c r="A138" s="245"/>
      <c r="B138" s="245"/>
      <c r="C138" s="245"/>
      <c r="D138" s="245"/>
      <c r="E138" s="245"/>
      <c r="F138" s="245"/>
      <c r="G138" s="245"/>
      <c r="H138" s="245"/>
      <c r="I138" s="245"/>
      <c r="J138" s="245"/>
      <c r="K138" s="236"/>
      <c r="L138" s="236"/>
      <c r="M138" s="236"/>
      <c r="N138" s="236"/>
      <c r="O138" s="236"/>
      <c r="P138" s="236"/>
      <c r="Q138" s="236"/>
      <c r="R138" s="236"/>
      <c r="S138" s="236"/>
      <c r="T138" s="236"/>
      <c r="U138" s="236"/>
      <c r="V138" s="236"/>
      <c r="W138" s="236"/>
      <c r="X138" s="236"/>
      <c r="Y138" s="236"/>
      <c r="Z138" s="236"/>
      <c r="AA138" s="236"/>
      <c r="AB138" s="236"/>
    </row>
    <row r="139" spans="1:28" x14ac:dyDescent="0.35">
      <c r="A139" s="245"/>
      <c r="B139" s="245"/>
      <c r="C139" s="245"/>
      <c r="D139" s="245"/>
      <c r="E139" s="245"/>
      <c r="F139" s="245"/>
      <c r="G139" s="245"/>
      <c r="H139" s="245"/>
      <c r="I139" s="245"/>
      <c r="J139" s="245"/>
      <c r="K139" s="236"/>
      <c r="L139" s="236"/>
      <c r="M139" s="236"/>
      <c r="N139" s="236"/>
      <c r="O139" s="236"/>
      <c r="P139" s="236"/>
      <c r="Q139" s="236"/>
      <c r="R139" s="236"/>
      <c r="S139" s="236"/>
      <c r="T139" s="236"/>
      <c r="U139" s="236"/>
      <c r="V139" s="236"/>
      <c r="W139" s="236"/>
      <c r="X139" s="236"/>
      <c r="Y139" s="236"/>
      <c r="Z139" s="236"/>
      <c r="AA139" s="236"/>
      <c r="AB139" s="236"/>
    </row>
    <row r="140" spans="1:28" x14ac:dyDescent="0.35">
      <c r="A140" s="245"/>
      <c r="B140" s="245"/>
      <c r="C140" s="245"/>
      <c r="D140" s="245"/>
      <c r="E140" s="245"/>
      <c r="F140" s="245"/>
      <c r="G140" s="245"/>
      <c r="H140" s="245"/>
      <c r="I140" s="245"/>
      <c r="J140" s="245"/>
      <c r="K140" s="236"/>
      <c r="L140" s="236"/>
      <c r="M140" s="236"/>
      <c r="N140" s="236"/>
      <c r="O140" s="236"/>
      <c r="P140" s="236"/>
      <c r="Q140" s="236"/>
      <c r="R140" s="236"/>
      <c r="S140" s="236"/>
      <c r="T140" s="236"/>
      <c r="U140" s="236"/>
      <c r="V140" s="236"/>
      <c r="W140" s="236"/>
      <c r="X140" s="236"/>
      <c r="Y140" s="236"/>
      <c r="Z140" s="236"/>
      <c r="AA140" s="236"/>
      <c r="AB140" s="236"/>
    </row>
    <row r="141" spans="1:28" x14ac:dyDescent="0.35">
      <c r="A141" s="245"/>
      <c r="B141" s="245"/>
      <c r="C141" s="245"/>
      <c r="D141" s="245"/>
      <c r="E141" s="245"/>
      <c r="F141" s="245"/>
      <c r="G141" s="245"/>
      <c r="H141" s="245"/>
      <c r="I141" s="245"/>
      <c r="J141" s="245"/>
      <c r="K141" s="236"/>
      <c r="L141" s="236"/>
      <c r="M141" s="236"/>
      <c r="N141" s="236"/>
      <c r="O141" s="236"/>
      <c r="P141" s="236"/>
      <c r="Q141" s="236"/>
      <c r="R141" s="236"/>
      <c r="S141" s="236"/>
      <c r="T141" s="236"/>
      <c r="U141" s="236"/>
      <c r="V141" s="236"/>
      <c r="W141" s="236"/>
      <c r="X141" s="236"/>
      <c r="Y141" s="236"/>
      <c r="Z141" s="236"/>
      <c r="AA141" s="236"/>
      <c r="AB141" s="236"/>
    </row>
    <row r="142" spans="1:28" x14ac:dyDescent="0.35">
      <c r="A142" s="245"/>
      <c r="B142" s="245"/>
      <c r="C142" s="245"/>
      <c r="D142" s="245"/>
      <c r="E142" s="245"/>
      <c r="F142" s="245"/>
      <c r="G142" s="245"/>
      <c r="H142" s="245"/>
      <c r="I142" s="245"/>
      <c r="J142" s="245"/>
      <c r="K142" s="236"/>
      <c r="L142" s="236"/>
      <c r="M142" s="236"/>
      <c r="N142" s="236"/>
      <c r="O142" s="236"/>
      <c r="P142" s="236"/>
      <c r="Q142" s="236"/>
      <c r="R142" s="236"/>
      <c r="S142" s="236"/>
      <c r="T142" s="236"/>
      <c r="U142" s="236"/>
      <c r="V142" s="236"/>
      <c r="W142" s="236"/>
      <c r="X142" s="236"/>
      <c r="Y142" s="236"/>
      <c r="Z142" s="236"/>
      <c r="AA142" s="236"/>
      <c r="AB142" s="236"/>
    </row>
    <row r="143" spans="1:28" x14ac:dyDescent="0.35">
      <c r="A143" s="245"/>
      <c r="B143" s="245"/>
      <c r="C143" s="245"/>
      <c r="D143" s="245"/>
      <c r="E143" s="245"/>
      <c r="F143" s="245"/>
      <c r="G143" s="245"/>
      <c r="H143" s="245"/>
      <c r="I143" s="245"/>
      <c r="J143" s="245"/>
      <c r="K143" s="236"/>
      <c r="L143" s="236"/>
      <c r="M143" s="236"/>
      <c r="N143" s="236"/>
      <c r="O143" s="236"/>
      <c r="P143" s="236"/>
      <c r="Q143" s="236"/>
      <c r="R143" s="236"/>
      <c r="S143" s="236"/>
      <c r="T143" s="236"/>
      <c r="U143" s="236"/>
      <c r="V143" s="236"/>
      <c r="W143" s="236"/>
      <c r="X143" s="236"/>
      <c r="Y143" s="236"/>
      <c r="Z143" s="236"/>
      <c r="AA143" s="236"/>
      <c r="AB143" s="236"/>
    </row>
    <row r="144" spans="1:28" x14ac:dyDescent="0.35">
      <c r="A144" s="245"/>
      <c r="B144" s="245"/>
      <c r="C144" s="245"/>
      <c r="D144" s="245"/>
      <c r="E144" s="245"/>
      <c r="F144" s="245"/>
      <c r="G144" s="245"/>
      <c r="H144" s="245"/>
      <c r="I144" s="245"/>
      <c r="J144" s="245"/>
      <c r="K144" s="236"/>
      <c r="L144" s="236"/>
      <c r="M144" s="236"/>
      <c r="N144" s="236"/>
      <c r="O144" s="236"/>
      <c r="P144" s="236"/>
      <c r="Q144" s="236"/>
      <c r="R144" s="236"/>
      <c r="S144" s="236"/>
      <c r="T144" s="236"/>
      <c r="U144" s="236"/>
      <c r="V144" s="236"/>
      <c r="W144" s="236"/>
      <c r="X144" s="236"/>
      <c r="Y144" s="236"/>
      <c r="Z144" s="236"/>
      <c r="AA144" s="236"/>
      <c r="AB144" s="236"/>
    </row>
    <row r="145" spans="1:28" x14ac:dyDescent="0.35">
      <c r="A145" s="245"/>
      <c r="B145" s="245"/>
      <c r="C145" s="245"/>
      <c r="D145" s="245"/>
      <c r="E145" s="245"/>
      <c r="F145" s="245"/>
      <c r="G145" s="245"/>
      <c r="H145" s="245"/>
      <c r="I145" s="245"/>
      <c r="J145" s="245"/>
      <c r="K145" s="236"/>
      <c r="L145" s="236"/>
      <c r="M145" s="236"/>
      <c r="N145" s="236"/>
      <c r="O145" s="236"/>
      <c r="P145" s="236"/>
      <c r="Q145" s="236"/>
      <c r="R145" s="236"/>
      <c r="S145" s="236"/>
      <c r="T145" s="236"/>
      <c r="U145" s="236"/>
      <c r="V145" s="236"/>
      <c r="W145" s="236"/>
      <c r="X145" s="236"/>
      <c r="Y145" s="236"/>
      <c r="Z145" s="236"/>
      <c r="AA145" s="236"/>
      <c r="AB145" s="236"/>
    </row>
    <row r="146" spans="1:28" x14ac:dyDescent="0.35">
      <c r="A146" s="245"/>
      <c r="B146" s="245"/>
      <c r="C146" s="245"/>
      <c r="D146" s="245"/>
      <c r="E146" s="245"/>
      <c r="F146" s="245"/>
      <c r="G146" s="245"/>
      <c r="H146" s="245"/>
      <c r="I146" s="245"/>
      <c r="J146" s="245"/>
      <c r="K146" s="236"/>
      <c r="L146" s="236"/>
      <c r="M146" s="236"/>
      <c r="N146" s="236"/>
      <c r="O146" s="236"/>
      <c r="P146" s="236"/>
      <c r="Q146" s="236"/>
      <c r="R146" s="236"/>
      <c r="S146" s="236"/>
      <c r="T146" s="236"/>
      <c r="U146" s="236"/>
      <c r="V146" s="236"/>
      <c r="W146" s="236"/>
      <c r="X146" s="236"/>
      <c r="Y146" s="236"/>
      <c r="Z146" s="236"/>
      <c r="AA146" s="236"/>
      <c r="AB146" s="236"/>
    </row>
  </sheetData>
  <mergeCells count="29">
    <mergeCell ref="A35:E38"/>
    <mergeCell ref="F51:J51"/>
    <mergeCell ref="A31:E31"/>
    <mergeCell ref="A1:K3"/>
    <mergeCell ref="F4:J7"/>
    <mergeCell ref="A8:J8"/>
    <mergeCell ref="A29:J30"/>
    <mergeCell ref="F31:J38"/>
    <mergeCell ref="A4:E4"/>
    <mergeCell ref="A73:E73"/>
    <mergeCell ref="F71:J74"/>
    <mergeCell ref="A71:E72"/>
    <mergeCell ref="A74:E74"/>
    <mergeCell ref="A49:J50"/>
    <mergeCell ref="A51:E51"/>
    <mergeCell ref="A55:J58"/>
    <mergeCell ref="F52:J54"/>
    <mergeCell ref="A95:J96"/>
    <mergeCell ref="A111:XFD112"/>
    <mergeCell ref="F113:J117"/>
    <mergeCell ref="A117:E117"/>
    <mergeCell ref="A75:E75"/>
    <mergeCell ref="F75:J79"/>
    <mergeCell ref="A79:E79"/>
    <mergeCell ref="A125:J146"/>
    <mergeCell ref="A113:D113"/>
    <mergeCell ref="A97:E97"/>
    <mergeCell ref="F97:J101"/>
    <mergeCell ref="A101:E101"/>
  </mergeCells>
  <phoneticPr fontId="17" type="noConversion"/>
  <dataValidations count="2">
    <dataValidation type="list" allowBlank="1" showInputMessage="1" showErrorMessage="1" sqref="B6 B33 C40:C48 B53 C60:C70 B77 C81:C94 B99 B115 C119:C124 C10:C12 C14:C24 K10:K28 K40:K48 K60:K70 K81:K94 K103:K110 C103:C110 K119:K124" xr:uid="{4A33DD85-D04F-4A65-B3B4-A9427838E061}">
      <formula1>Statuses</formula1>
    </dataValidation>
    <dataValidation type="list" allowBlank="1" showInputMessage="1" showErrorMessage="1" sqref="I10:I28 I60:I70 I81:I94 I103:I110 I119:I124 I40:I48" xr:uid="{A9DBF35B-0848-42F5-9530-2537AFEEA92E}">
      <formula1>titles</formula1>
    </dataValidation>
  </dataValidations>
  <pageMargins left="0.7" right="0.7" top="0.75" bottom="0.75" header="0.3" footer="0.3"/>
  <pageSetup orientation="portrait" r:id="rId1"/>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AAEF8-3E2C-4F4E-B341-5AFFBAE57A97}">
  <dimension ref="A1:F29"/>
  <sheetViews>
    <sheetView zoomScaleNormal="100" workbookViewId="0">
      <selection activeCell="E42" sqref="E42"/>
    </sheetView>
  </sheetViews>
  <sheetFormatPr defaultRowHeight="14.5" x14ac:dyDescent="0.35"/>
  <cols>
    <col min="1" max="1" width="41.54296875" customWidth="1"/>
    <col min="2" max="2" width="51.54296875" customWidth="1"/>
    <col min="3" max="3" width="36.1796875" customWidth="1"/>
    <col min="4" max="4" width="33.81640625" customWidth="1"/>
    <col min="5" max="5" width="51.81640625" customWidth="1"/>
    <col min="6" max="6" width="23.26953125" customWidth="1"/>
  </cols>
  <sheetData>
    <row r="1" spans="1:5" x14ac:dyDescent="0.35">
      <c r="A1" t="s">
        <v>410</v>
      </c>
      <c r="B1" t="s">
        <v>411</v>
      </c>
      <c r="C1" t="s">
        <v>412</v>
      </c>
      <c r="D1" t="s">
        <v>413</v>
      </c>
      <c r="E1" t="s">
        <v>227</v>
      </c>
    </row>
    <row r="2" spans="1:5" x14ac:dyDescent="0.35">
      <c r="A2" t="s">
        <v>414</v>
      </c>
      <c r="B2" t="s">
        <v>75</v>
      </c>
      <c r="C2" t="s">
        <v>415</v>
      </c>
      <c r="D2" t="s">
        <v>416</v>
      </c>
    </row>
    <row r="3" spans="1:5" x14ac:dyDescent="0.35">
      <c r="A3" t="s">
        <v>417</v>
      </c>
      <c r="B3" t="s">
        <v>173</v>
      </c>
      <c r="C3" t="s">
        <v>415</v>
      </c>
      <c r="D3" t="s">
        <v>418</v>
      </c>
    </row>
    <row r="4" spans="1:5" x14ac:dyDescent="0.35">
      <c r="A4" t="s">
        <v>419</v>
      </c>
      <c r="B4" t="s">
        <v>19</v>
      </c>
      <c r="C4" t="s">
        <v>420</v>
      </c>
      <c r="D4" t="s">
        <v>421</v>
      </c>
    </row>
    <row r="5" spans="1:5" x14ac:dyDescent="0.35">
      <c r="A5" t="s">
        <v>422</v>
      </c>
      <c r="B5" t="s">
        <v>169</v>
      </c>
      <c r="C5" t="s">
        <v>423</v>
      </c>
      <c r="D5" t="s">
        <v>421</v>
      </c>
    </row>
    <row r="6" spans="1:5" x14ac:dyDescent="0.35">
      <c r="A6" t="s">
        <v>424</v>
      </c>
      <c r="B6" t="s">
        <v>425</v>
      </c>
      <c r="C6" t="s">
        <v>423</v>
      </c>
      <c r="D6" t="s">
        <v>421</v>
      </c>
    </row>
    <row r="7" spans="1:5" x14ac:dyDescent="0.35">
      <c r="A7" t="s">
        <v>426</v>
      </c>
      <c r="B7" t="s">
        <v>427</v>
      </c>
      <c r="C7" t="s">
        <v>420</v>
      </c>
      <c r="D7" t="s">
        <v>421</v>
      </c>
    </row>
    <row r="8" spans="1:5" x14ac:dyDescent="0.35">
      <c r="A8" t="s">
        <v>428</v>
      </c>
      <c r="B8" t="s">
        <v>429</v>
      </c>
      <c r="C8" t="s">
        <v>430</v>
      </c>
      <c r="D8" t="s">
        <v>431</v>
      </c>
    </row>
    <row r="9" spans="1:5" x14ac:dyDescent="0.35">
      <c r="A9" t="s">
        <v>432</v>
      </c>
      <c r="B9" t="s">
        <v>433</v>
      </c>
      <c r="C9" t="s">
        <v>434</v>
      </c>
      <c r="D9" t="s">
        <v>418</v>
      </c>
    </row>
    <row r="10" spans="1:5" x14ac:dyDescent="0.35">
      <c r="A10" t="s">
        <v>435</v>
      </c>
      <c r="B10" t="s">
        <v>31</v>
      </c>
      <c r="C10" t="s">
        <v>415</v>
      </c>
      <c r="D10" t="s">
        <v>436</v>
      </c>
    </row>
    <row r="11" spans="1:5" x14ac:dyDescent="0.35">
      <c r="A11" t="s">
        <v>437</v>
      </c>
      <c r="B11" t="s">
        <v>438</v>
      </c>
      <c r="C11" t="s">
        <v>439</v>
      </c>
      <c r="D11" t="s">
        <v>440</v>
      </c>
    </row>
    <row r="12" spans="1:5" x14ac:dyDescent="0.35">
      <c r="A12" t="s">
        <v>441</v>
      </c>
      <c r="B12" t="s">
        <v>442</v>
      </c>
      <c r="C12" t="s">
        <v>443</v>
      </c>
      <c r="D12" t="s">
        <v>436</v>
      </c>
    </row>
    <row r="13" spans="1:5" x14ac:dyDescent="0.35">
      <c r="A13" t="s">
        <v>444</v>
      </c>
      <c r="B13" t="s">
        <v>132</v>
      </c>
      <c r="C13" t="s">
        <v>445</v>
      </c>
      <c r="D13" t="s">
        <v>436</v>
      </c>
    </row>
    <row r="14" spans="1:5" x14ac:dyDescent="0.35">
      <c r="A14" t="s">
        <v>446</v>
      </c>
      <c r="B14" t="s">
        <v>447</v>
      </c>
      <c r="C14" t="s">
        <v>448</v>
      </c>
      <c r="D14" t="s">
        <v>449</v>
      </c>
    </row>
    <row r="15" spans="1:5" x14ac:dyDescent="0.35">
      <c r="A15" t="s">
        <v>450</v>
      </c>
      <c r="B15" t="s">
        <v>46</v>
      </c>
      <c r="C15" t="s">
        <v>430</v>
      </c>
      <c r="D15" t="s">
        <v>451</v>
      </c>
    </row>
    <row r="16" spans="1:5" x14ac:dyDescent="0.35">
      <c r="A16" t="s">
        <v>452</v>
      </c>
      <c r="B16" t="s">
        <v>61</v>
      </c>
      <c r="C16" t="s">
        <v>439</v>
      </c>
      <c r="D16" t="s">
        <v>418</v>
      </c>
    </row>
    <row r="17" spans="1:6" x14ac:dyDescent="0.35">
      <c r="B17" t="s">
        <v>453</v>
      </c>
    </row>
    <row r="18" spans="1:6" x14ac:dyDescent="0.35">
      <c r="A18" t="s">
        <v>454</v>
      </c>
      <c r="B18" t="s">
        <v>455</v>
      </c>
      <c r="C18" t="s">
        <v>456</v>
      </c>
    </row>
    <row r="19" spans="1:6" x14ac:dyDescent="0.35">
      <c r="A19" t="s">
        <v>457</v>
      </c>
      <c r="B19" t="s">
        <v>23</v>
      </c>
      <c r="C19" t="s">
        <v>458</v>
      </c>
      <c r="D19" t="s">
        <v>440</v>
      </c>
    </row>
    <row r="20" spans="1:6" x14ac:dyDescent="0.35">
      <c r="A20" t="s">
        <v>459</v>
      </c>
      <c r="B20" t="s">
        <v>460</v>
      </c>
      <c r="C20" t="s">
        <v>420</v>
      </c>
      <c r="D20" t="s">
        <v>461</v>
      </c>
    </row>
    <row r="21" spans="1:6" x14ac:dyDescent="0.35">
      <c r="A21" t="s">
        <v>615</v>
      </c>
      <c r="B21" t="s">
        <v>616</v>
      </c>
      <c r="C21" t="s">
        <v>617</v>
      </c>
      <c r="E21" t="s">
        <v>613</v>
      </c>
    </row>
    <row r="22" spans="1:6" x14ac:dyDescent="0.35">
      <c r="A22" t="s">
        <v>609</v>
      </c>
      <c r="B22" t="s">
        <v>611</v>
      </c>
      <c r="C22" t="s">
        <v>612</v>
      </c>
      <c r="D22" t="s">
        <v>461</v>
      </c>
      <c r="E22" t="s">
        <v>610</v>
      </c>
    </row>
    <row r="23" spans="1:6" x14ac:dyDescent="0.35">
      <c r="A23" t="s">
        <v>619</v>
      </c>
      <c r="B23" t="s">
        <v>620</v>
      </c>
      <c r="C23" t="s">
        <v>430</v>
      </c>
      <c r="D23" t="s">
        <v>451</v>
      </c>
      <c r="E23" t="s">
        <v>621</v>
      </c>
    </row>
    <row r="24" spans="1:6" x14ac:dyDescent="0.35">
      <c r="A24" t="s">
        <v>632</v>
      </c>
      <c r="B24" t="s">
        <v>633</v>
      </c>
      <c r="C24" t="s">
        <v>635</v>
      </c>
      <c r="D24" t="s">
        <v>166</v>
      </c>
      <c r="E24" t="s">
        <v>634</v>
      </c>
    </row>
    <row r="28" spans="1:6" x14ac:dyDescent="0.35">
      <c r="A28" t="s">
        <v>410</v>
      </c>
      <c r="B28" t="s">
        <v>411</v>
      </c>
      <c r="C28" t="s">
        <v>412</v>
      </c>
      <c r="D28" t="s">
        <v>599</v>
      </c>
      <c r="E28" t="s">
        <v>227</v>
      </c>
      <c r="F28" t="s">
        <v>604</v>
      </c>
    </row>
    <row r="29" spans="1:6" ht="16" x14ac:dyDescent="0.4">
      <c r="A29" s="240" t="s">
        <v>600</v>
      </c>
      <c r="B29" t="s">
        <v>601</v>
      </c>
      <c r="C29" t="s">
        <v>602</v>
      </c>
      <c r="E29" t="s">
        <v>603</v>
      </c>
      <c r="F29" s="149" t="s">
        <v>605</v>
      </c>
    </row>
  </sheetData>
  <hyperlinks>
    <hyperlink ref="F29" r:id="rId1" xr:uid="{84DFB8AA-F776-496F-958D-17D373D23370}"/>
  </hyperlinks>
  <pageMargins left="0.7" right="0.7" top="0.75" bottom="0.75" header="0.3" footer="0.3"/>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18EE-F6A6-4E58-BA74-ECC05E8EEE48}">
  <dimension ref="A1:G18"/>
  <sheetViews>
    <sheetView workbookViewId="0">
      <selection activeCell="H2" sqref="H2"/>
    </sheetView>
  </sheetViews>
  <sheetFormatPr defaultRowHeight="14.5" x14ac:dyDescent="0.35"/>
  <cols>
    <col min="1" max="1" width="14.54296875" customWidth="1"/>
    <col min="2" max="2" width="55.453125" customWidth="1"/>
    <col min="3" max="4" width="58.1796875" customWidth="1"/>
    <col min="5" max="5" width="41.81640625" customWidth="1"/>
    <col min="6" max="6" width="39.1796875" customWidth="1"/>
    <col min="7" max="7" width="14.26953125" customWidth="1"/>
  </cols>
  <sheetData>
    <row r="1" spans="1:7" x14ac:dyDescent="0.35">
      <c r="A1" t="s">
        <v>463</v>
      </c>
      <c r="B1" t="s">
        <v>464</v>
      </c>
      <c r="C1" t="s">
        <v>465</v>
      </c>
      <c r="D1" t="s">
        <v>466</v>
      </c>
      <c r="E1" t="s">
        <v>467</v>
      </c>
      <c r="F1" t="s">
        <v>468</v>
      </c>
      <c r="G1" t="s">
        <v>469</v>
      </c>
    </row>
    <row r="2" spans="1:7" ht="43.5" x14ac:dyDescent="0.35">
      <c r="A2" s="150" t="s">
        <v>15</v>
      </c>
      <c r="B2" s="151" t="s">
        <v>470</v>
      </c>
      <c r="C2" s="151" t="s">
        <v>471</v>
      </c>
      <c r="D2" s="151" t="s">
        <v>472</v>
      </c>
      <c r="E2" s="151" t="s">
        <v>473</v>
      </c>
      <c r="F2" s="151" t="s">
        <v>474</v>
      </c>
      <c r="G2" s="154">
        <v>0</v>
      </c>
    </row>
    <row r="3" spans="1:7" ht="43.5" x14ac:dyDescent="0.35">
      <c r="A3" s="150" t="s">
        <v>42</v>
      </c>
      <c r="B3" s="151" t="s">
        <v>475</v>
      </c>
      <c r="C3" s="151" t="s">
        <v>476</v>
      </c>
      <c r="D3" s="151" t="s">
        <v>477</v>
      </c>
      <c r="E3" s="151" t="s">
        <v>478</v>
      </c>
      <c r="F3" s="151" t="s">
        <v>474</v>
      </c>
      <c r="G3" s="154">
        <v>1</v>
      </c>
    </row>
    <row r="4" spans="1:7" ht="72" customHeight="1" x14ac:dyDescent="0.35">
      <c r="A4" s="150" t="s">
        <v>38</v>
      </c>
      <c r="B4" s="151" t="s">
        <v>479</v>
      </c>
      <c r="C4" s="151" t="s">
        <v>480</v>
      </c>
      <c r="D4" s="151" t="s">
        <v>481</v>
      </c>
      <c r="E4" s="151" t="s">
        <v>482</v>
      </c>
      <c r="F4" s="152" t="s">
        <v>483</v>
      </c>
      <c r="G4" s="154">
        <v>2</v>
      </c>
    </row>
    <row r="5" spans="1:7" ht="87" x14ac:dyDescent="0.35">
      <c r="A5" s="150" t="s">
        <v>33</v>
      </c>
      <c r="B5" s="151" t="s">
        <v>484</v>
      </c>
      <c r="C5" s="151" t="s">
        <v>485</v>
      </c>
      <c r="D5" s="151" t="s">
        <v>486</v>
      </c>
      <c r="E5" s="151" t="s">
        <v>487</v>
      </c>
      <c r="F5" s="151" t="s">
        <v>488</v>
      </c>
      <c r="G5" s="154">
        <v>3</v>
      </c>
    </row>
    <row r="6" spans="1:7" ht="116" x14ac:dyDescent="0.35">
      <c r="A6" s="150" t="s">
        <v>66</v>
      </c>
      <c r="B6" s="151" t="s">
        <v>489</v>
      </c>
      <c r="C6" s="151" t="s">
        <v>490</v>
      </c>
      <c r="D6" s="151" t="s">
        <v>491</v>
      </c>
      <c r="E6" s="151" t="s">
        <v>492</v>
      </c>
      <c r="F6" s="151" t="s">
        <v>493</v>
      </c>
      <c r="G6" s="154">
        <v>4</v>
      </c>
    </row>
    <row r="7" spans="1:7" ht="159.5" x14ac:dyDescent="0.35">
      <c r="A7" s="150" t="s">
        <v>494</v>
      </c>
      <c r="B7" s="151" t="s">
        <v>495</v>
      </c>
      <c r="C7" s="151" t="s">
        <v>496</v>
      </c>
      <c r="D7" s="151" t="s">
        <v>497</v>
      </c>
      <c r="E7" s="151" t="s">
        <v>498</v>
      </c>
      <c r="F7" s="151" t="s">
        <v>499</v>
      </c>
      <c r="G7" s="154">
        <v>5</v>
      </c>
    </row>
    <row r="8" spans="1:7" x14ac:dyDescent="0.35">
      <c r="A8" s="153" t="s">
        <v>21</v>
      </c>
      <c r="B8" s="151"/>
      <c r="C8" s="151"/>
      <c r="D8" s="151"/>
      <c r="E8" s="151"/>
      <c r="F8" s="151"/>
      <c r="G8" s="151"/>
    </row>
    <row r="18" spans="2:2" x14ac:dyDescent="0.35">
      <c r="B18" s="1"/>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CC58E-86AC-4623-AB5E-B717669CFCBE}">
  <dimension ref="A1:C64"/>
  <sheetViews>
    <sheetView workbookViewId="0">
      <selection activeCell="B93" sqref="B93"/>
    </sheetView>
  </sheetViews>
  <sheetFormatPr defaultRowHeight="14.5" x14ac:dyDescent="0.35"/>
  <cols>
    <col min="1" max="1" width="35.81640625" customWidth="1"/>
    <col min="2" max="2" width="107.54296875" customWidth="1"/>
    <col min="3" max="3" width="46.453125" customWidth="1"/>
  </cols>
  <sheetData>
    <row r="1" spans="1:3" x14ac:dyDescent="0.35">
      <c r="A1" t="s">
        <v>500</v>
      </c>
      <c r="B1" t="s">
        <v>501</v>
      </c>
    </row>
    <row r="2" spans="1:3" x14ac:dyDescent="0.35">
      <c r="A2" t="s">
        <v>461</v>
      </c>
      <c r="B2" s="149" t="s">
        <v>502</v>
      </c>
    </row>
    <row r="3" spans="1:3" x14ac:dyDescent="0.35">
      <c r="A3" t="s">
        <v>451</v>
      </c>
      <c r="B3" t="s">
        <v>503</v>
      </c>
    </row>
    <row r="4" spans="1:3" x14ac:dyDescent="0.35">
      <c r="A4" t="s">
        <v>504</v>
      </c>
      <c r="B4" t="s">
        <v>505</v>
      </c>
    </row>
    <row r="5" spans="1:3" x14ac:dyDescent="0.35">
      <c r="A5" t="s">
        <v>506</v>
      </c>
      <c r="B5" s="149" t="s">
        <v>507</v>
      </c>
    </row>
    <row r="6" spans="1:3" x14ac:dyDescent="0.35">
      <c r="A6" t="s">
        <v>508</v>
      </c>
      <c r="B6" s="149" t="s">
        <v>509</v>
      </c>
    </row>
    <row r="7" spans="1:3" x14ac:dyDescent="0.35">
      <c r="A7" t="s">
        <v>510</v>
      </c>
      <c r="B7" s="149" t="s">
        <v>511</v>
      </c>
    </row>
    <row r="8" spans="1:3" x14ac:dyDescent="0.35">
      <c r="A8" t="s">
        <v>512</v>
      </c>
      <c r="B8" s="149" t="s">
        <v>513</v>
      </c>
    </row>
    <row r="9" spans="1:3" x14ac:dyDescent="0.35">
      <c r="A9" t="s">
        <v>514</v>
      </c>
      <c r="B9" s="149" t="s">
        <v>515</v>
      </c>
    </row>
    <row r="12" spans="1:3" x14ac:dyDescent="0.35">
      <c r="A12" t="s">
        <v>516</v>
      </c>
      <c r="B12" t="s">
        <v>501</v>
      </c>
      <c r="C12" t="s">
        <v>517</v>
      </c>
    </row>
    <row r="13" spans="1:3" x14ac:dyDescent="0.35">
      <c r="A13" t="s">
        <v>518</v>
      </c>
      <c r="B13" s="149" t="s">
        <v>519</v>
      </c>
    </row>
    <row r="14" spans="1:3" x14ac:dyDescent="0.35">
      <c r="A14" t="s">
        <v>520</v>
      </c>
      <c r="B14" s="149" t="s">
        <v>521</v>
      </c>
    </row>
    <row r="15" spans="1:3" x14ac:dyDescent="0.35">
      <c r="A15" t="s">
        <v>522</v>
      </c>
      <c r="B15" s="149" t="s">
        <v>523</v>
      </c>
    </row>
    <row r="16" spans="1:3" x14ac:dyDescent="0.35">
      <c r="A16" t="s">
        <v>524</v>
      </c>
      <c r="B16" s="149" t="s">
        <v>525</v>
      </c>
    </row>
    <row r="17" spans="1:3" x14ac:dyDescent="0.35">
      <c r="A17" t="s">
        <v>526</v>
      </c>
      <c r="B17" s="149" t="s">
        <v>527</v>
      </c>
    </row>
    <row r="18" spans="1:3" x14ac:dyDescent="0.35">
      <c r="A18" t="s">
        <v>528</v>
      </c>
      <c r="B18" s="149" t="s">
        <v>529</v>
      </c>
    </row>
    <row r="19" spans="1:3" x14ac:dyDescent="0.35">
      <c r="A19" t="s">
        <v>530</v>
      </c>
      <c r="B19" s="149" t="s">
        <v>531</v>
      </c>
    </row>
    <row r="20" spans="1:3" x14ac:dyDescent="0.35">
      <c r="A20" t="s">
        <v>532</v>
      </c>
      <c r="B20" s="149" t="s">
        <v>527</v>
      </c>
    </row>
    <row r="21" spans="1:3" x14ac:dyDescent="0.35">
      <c r="A21" t="s">
        <v>533</v>
      </c>
      <c r="B21" t="s">
        <v>462</v>
      </c>
    </row>
    <row r="22" spans="1:3" x14ac:dyDescent="0.35">
      <c r="A22" t="s">
        <v>534</v>
      </c>
      <c r="B22" t="s">
        <v>527</v>
      </c>
    </row>
    <row r="23" spans="1:3" x14ac:dyDescent="0.35">
      <c r="A23" t="s">
        <v>535</v>
      </c>
      <c r="B23" t="s">
        <v>462</v>
      </c>
    </row>
    <row r="24" spans="1:3" x14ac:dyDescent="0.35">
      <c r="A24" t="s">
        <v>536</v>
      </c>
      <c r="B24" s="149" t="s">
        <v>537</v>
      </c>
    </row>
    <row r="25" spans="1:3" x14ac:dyDescent="0.35">
      <c r="A25" t="s">
        <v>538</v>
      </c>
      <c r="B25" t="s">
        <v>539</v>
      </c>
      <c r="C25" t="s">
        <v>540</v>
      </c>
    </row>
    <row r="26" spans="1:3" x14ac:dyDescent="0.35">
      <c r="A26" t="s">
        <v>541</v>
      </c>
      <c r="B26" t="s">
        <v>462</v>
      </c>
    </row>
    <row r="27" spans="1:3" x14ac:dyDescent="0.35">
      <c r="A27" t="s">
        <v>542</v>
      </c>
      <c r="B27" t="s">
        <v>462</v>
      </c>
    </row>
    <row r="28" spans="1:3" x14ac:dyDescent="0.35">
      <c r="A28" t="s">
        <v>543</v>
      </c>
      <c r="B28" t="s">
        <v>462</v>
      </c>
      <c r="C28" t="s">
        <v>544</v>
      </c>
    </row>
    <row r="29" spans="1:3" x14ac:dyDescent="0.35">
      <c r="A29" t="s">
        <v>545</v>
      </c>
      <c r="B29" s="149" t="s">
        <v>546</v>
      </c>
    </row>
    <row r="30" spans="1:3" x14ac:dyDescent="0.35">
      <c r="A30" t="s">
        <v>547</v>
      </c>
      <c r="B30" s="149" t="s">
        <v>548</v>
      </c>
    </row>
    <row r="32" spans="1:3" x14ac:dyDescent="0.35">
      <c r="A32" t="s">
        <v>549</v>
      </c>
      <c r="B32" t="s">
        <v>501</v>
      </c>
    </row>
    <row r="33" spans="1:3" x14ac:dyDescent="0.35">
      <c r="A33" t="s">
        <v>550</v>
      </c>
      <c r="B33" t="s">
        <v>551</v>
      </c>
    </row>
    <row r="34" spans="1:3" x14ac:dyDescent="0.35">
      <c r="A34" t="s">
        <v>552</v>
      </c>
      <c r="B34" s="149" t="s">
        <v>553</v>
      </c>
    </row>
    <row r="35" spans="1:3" x14ac:dyDescent="0.35">
      <c r="B35" s="149"/>
    </row>
    <row r="37" spans="1:3" x14ac:dyDescent="0.35">
      <c r="A37" t="s">
        <v>554</v>
      </c>
      <c r="B37" t="s">
        <v>501</v>
      </c>
      <c r="C37" t="s">
        <v>517</v>
      </c>
    </row>
    <row r="38" spans="1:3" x14ac:dyDescent="0.35">
      <c r="A38" t="s">
        <v>555</v>
      </c>
      <c r="B38" s="149" t="s">
        <v>556</v>
      </c>
      <c r="C38" t="s">
        <v>504</v>
      </c>
    </row>
    <row r="39" spans="1:3" x14ac:dyDescent="0.35">
      <c r="A39" t="s">
        <v>557</v>
      </c>
      <c r="B39" s="149" t="s">
        <v>558</v>
      </c>
      <c r="C39" t="s">
        <v>451</v>
      </c>
    </row>
    <row r="40" spans="1:3" x14ac:dyDescent="0.35">
      <c r="A40" t="s">
        <v>559</v>
      </c>
      <c r="B40" s="149" t="s">
        <v>560</v>
      </c>
      <c r="C40" t="s">
        <v>451</v>
      </c>
    </row>
    <row r="41" spans="1:3" x14ac:dyDescent="0.35">
      <c r="A41" t="s">
        <v>561</v>
      </c>
      <c r="B41" s="149" t="s">
        <v>562</v>
      </c>
      <c r="C41" t="s">
        <v>451</v>
      </c>
    </row>
    <row r="42" spans="1:3" x14ac:dyDescent="0.35">
      <c r="A42" t="s">
        <v>563</v>
      </c>
      <c r="B42" t="s">
        <v>564</v>
      </c>
      <c r="C42" t="s">
        <v>451</v>
      </c>
    </row>
    <row r="43" spans="1:3" x14ac:dyDescent="0.35">
      <c r="A43" t="s">
        <v>565</v>
      </c>
      <c r="B43" s="149" t="s">
        <v>566</v>
      </c>
      <c r="C43" t="s">
        <v>451</v>
      </c>
    </row>
    <row r="44" spans="1:3" x14ac:dyDescent="0.35">
      <c r="A44" t="s">
        <v>567</v>
      </c>
      <c r="B44" s="149" t="s">
        <v>568</v>
      </c>
      <c r="C44" t="s">
        <v>451</v>
      </c>
    </row>
    <row r="45" spans="1:3" x14ac:dyDescent="0.35">
      <c r="A45" t="s">
        <v>569</v>
      </c>
      <c r="B45" s="149" t="s">
        <v>570</v>
      </c>
      <c r="C45" t="s">
        <v>451</v>
      </c>
    </row>
    <row r="46" spans="1:3" x14ac:dyDescent="0.35">
      <c r="A46" t="s">
        <v>571</v>
      </c>
      <c r="B46" s="149" t="s">
        <v>572</v>
      </c>
      <c r="C46" t="s">
        <v>451</v>
      </c>
    </row>
    <row r="47" spans="1:3" x14ac:dyDescent="0.35">
      <c r="A47" t="s">
        <v>573</v>
      </c>
      <c r="B47" t="s">
        <v>574</v>
      </c>
      <c r="C47" t="s">
        <v>461</v>
      </c>
    </row>
    <row r="48" spans="1:3" x14ac:dyDescent="0.35">
      <c r="A48" t="s">
        <v>575</v>
      </c>
      <c r="B48" s="149" t="s">
        <v>576</v>
      </c>
      <c r="C48" t="s">
        <v>461</v>
      </c>
    </row>
    <row r="49" spans="1:3" x14ac:dyDescent="0.35">
      <c r="A49" t="s">
        <v>577</v>
      </c>
      <c r="B49" s="149" t="s">
        <v>578</v>
      </c>
      <c r="C49" t="s">
        <v>461</v>
      </c>
    </row>
    <row r="50" spans="1:3" x14ac:dyDescent="0.35">
      <c r="A50" t="s">
        <v>579</v>
      </c>
      <c r="B50" t="s">
        <v>580</v>
      </c>
      <c r="C50" t="s">
        <v>461</v>
      </c>
    </row>
    <row r="51" spans="1:3" x14ac:dyDescent="0.35">
      <c r="A51" t="s">
        <v>581</v>
      </c>
      <c r="B51" t="s">
        <v>582</v>
      </c>
      <c r="C51" t="s">
        <v>504</v>
      </c>
    </row>
    <row r="52" spans="1:3" x14ac:dyDescent="0.35">
      <c r="A52" t="s">
        <v>583</v>
      </c>
      <c r="B52" s="149" t="s">
        <v>185</v>
      </c>
      <c r="C52" t="s">
        <v>504</v>
      </c>
    </row>
    <row r="53" spans="1:3" x14ac:dyDescent="0.35">
      <c r="A53" t="s">
        <v>584</v>
      </c>
      <c r="B53" s="149" t="s">
        <v>585</v>
      </c>
      <c r="C53" t="s">
        <v>504</v>
      </c>
    </row>
    <row r="54" spans="1:3" x14ac:dyDescent="0.35">
      <c r="A54" t="s">
        <v>586</v>
      </c>
      <c r="B54" t="s">
        <v>587</v>
      </c>
      <c r="C54" t="s">
        <v>504</v>
      </c>
    </row>
    <row r="55" spans="1:3" x14ac:dyDescent="0.35">
      <c r="A55" t="s">
        <v>588</v>
      </c>
      <c r="B55" t="s">
        <v>589</v>
      </c>
      <c r="C55" t="s">
        <v>504</v>
      </c>
    </row>
    <row r="56" spans="1:3" x14ac:dyDescent="0.35">
      <c r="A56" t="s">
        <v>641</v>
      </c>
      <c r="B56" s="149" t="s">
        <v>640</v>
      </c>
      <c r="C56" t="s">
        <v>461</v>
      </c>
    </row>
    <row r="57" spans="1:3" x14ac:dyDescent="0.35">
      <c r="A57" t="s">
        <v>642</v>
      </c>
      <c r="B57" s="149" t="s">
        <v>643</v>
      </c>
    </row>
    <row r="58" spans="1:3" x14ac:dyDescent="0.35">
      <c r="B58" s="149"/>
    </row>
    <row r="59" spans="1:3" x14ac:dyDescent="0.35">
      <c r="B59" s="149"/>
    </row>
    <row r="61" spans="1:3" x14ac:dyDescent="0.35">
      <c r="A61" t="s">
        <v>169</v>
      </c>
      <c r="B61" t="s">
        <v>501</v>
      </c>
      <c r="C61" t="s">
        <v>517</v>
      </c>
    </row>
    <row r="62" spans="1:3" x14ac:dyDescent="0.35">
      <c r="B62" s="149" t="s">
        <v>598</v>
      </c>
    </row>
    <row r="63" spans="1:3" x14ac:dyDescent="0.35">
      <c r="B63" s="149" t="s">
        <v>606</v>
      </c>
    </row>
    <row r="64" spans="1:3" x14ac:dyDescent="0.35">
      <c r="B64" s="149" t="s">
        <v>607</v>
      </c>
      <c r="C64" t="s">
        <v>608</v>
      </c>
    </row>
  </sheetData>
  <hyperlinks>
    <hyperlink ref="B13" r:id="rId1" xr:uid="{EB5FF1D1-9387-449B-B887-42ADDB1E59EA}"/>
    <hyperlink ref="B14" r:id="rId2" xr:uid="{47914936-AB7A-45CB-A59D-8070485B136D}"/>
    <hyperlink ref="B16" r:id="rId3" display="https://www.calstate.edu/csu-system/administration/codedmemos/Academic Affairs Coded Memos/AA-2007-04.pdf" xr:uid="{A1CCD5DF-3893-405F-BD97-296A423F44D1}"/>
    <hyperlink ref="B15" r:id="rId4" xr:uid="{F0BCBE69-668A-4CC5-8992-46F2B7AD94D7}"/>
    <hyperlink ref="B17" r:id="rId5" xr:uid="{2A1CBABD-99ED-4FFD-A3FC-58D3C77DB0B5}"/>
    <hyperlink ref="B18" r:id="rId6" xr:uid="{5E5431A8-42CC-44BA-A28A-B66CF9F19800}"/>
    <hyperlink ref="B19" r:id="rId7" xr:uid="{2808A8BC-660C-454A-AFF0-D6033E7F8985}"/>
    <hyperlink ref="B20" r:id="rId8" xr:uid="{08BFA7DC-FF17-4BD1-9F63-E7EEC6194894}"/>
    <hyperlink ref="B24" r:id="rId9" xr:uid="{570A495B-0871-418D-A7DB-080CBC3B2AF5}"/>
    <hyperlink ref="B2" r:id="rId10" xr:uid="{D79C8DBF-6D08-4283-A624-A8C935CD3BBD}"/>
    <hyperlink ref="B5" r:id="rId11" xr:uid="{94E0A491-F57E-40C9-A21B-20FC6BCF4787}"/>
    <hyperlink ref="B34" r:id="rId12" xr:uid="{C603F579-E2C5-46FF-9315-FAA464F5C97C}"/>
    <hyperlink ref="B8" r:id="rId13" xr:uid="{ECE52541-A830-4941-944D-6FE9DCDC9DE5}"/>
    <hyperlink ref="B7" r:id="rId14" xr:uid="{3CF27C6B-4D9B-457A-8474-2A9BA0D274EF}"/>
    <hyperlink ref="B6" r:id="rId15" xr:uid="{F63C7577-26D5-4170-92A0-61CD3E314E5F}"/>
    <hyperlink ref="B38" r:id="rId16" xr:uid="{34678272-3C9F-42A1-BB96-59BDCF1E27E8}"/>
    <hyperlink ref="B39" r:id="rId17" xr:uid="{97639B88-AC32-4489-9651-A500930AE342}"/>
    <hyperlink ref="B40" r:id="rId18" xr:uid="{31A1C099-4F87-46A6-9C2E-05C9A90588FF}"/>
    <hyperlink ref="B41" r:id="rId19" xr:uid="{63F1D0C1-5BA8-4127-A123-04B7D8B3FA9D}"/>
    <hyperlink ref="B43" r:id="rId20" xr:uid="{E95717A0-F9D4-4FAE-89C9-98729344FB6D}"/>
    <hyperlink ref="B9" r:id="rId21" xr:uid="{72B8A337-DD1B-461B-A4AF-CAC680EFECF1}"/>
    <hyperlink ref="B44" r:id="rId22" xr:uid="{EDDF97F5-7CC3-40D3-B989-BC12C1FF0B49}"/>
    <hyperlink ref="B48" r:id="rId23" xr:uid="{4E367CF3-FED5-4A56-8565-B952802A542F}"/>
    <hyperlink ref="B49" r:id="rId24" xr:uid="{4EAEBD5C-9BC5-4FC0-8116-3E98D1061869}"/>
    <hyperlink ref="B45" r:id="rId25" xr:uid="{6B66C545-B58D-4EE4-BC86-22034AB45AAD}"/>
    <hyperlink ref="B46" r:id="rId26" xr:uid="{CE7313E5-A68F-4624-B92A-8E13C8D4D3AF}"/>
    <hyperlink ref="B52" r:id="rId27" xr:uid="{277FB485-7686-40F4-BFE9-C5FC4228F331}"/>
    <hyperlink ref="B53" r:id="rId28" xr:uid="{F9B9CD38-8A26-4B11-B490-59CB74D5CAFF}"/>
    <hyperlink ref="B29" r:id="rId29" xr:uid="{85209483-E344-490E-A4A6-F53F12B8B251}"/>
    <hyperlink ref="B30" r:id="rId30" xr:uid="{F430072B-D9DA-4312-87B9-D11BACE6266B}"/>
    <hyperlink ref="B62" r:id="rId31" xr:uid="{740CE9A2-6812-4D53-B054-3754CB7BF4C3}"/>
    <hyperlink ref="B64" r:id="rId32" xr:uid="{60544D4C-D3D3-46F6-98CA-67A5C7FF30CB}"/>
    <hyperlink ref="B56" r:id="rId33" xr:uid="{A87292AE-859C-4802-991C-5BDBCE131C85}"/>
    <hyperlink ref="B57" r:id="rId34" xr:uid="{17BA7E00-57E1-4713-A125-76A37AA5BEBF}"/>
  </hyperlinks>
  <pageMargins left="0.7" right="0.7" top="0.75" bottom="0.75" header="0.3" footer="0.3"/>
  <tableParts count="5">
    <tablePart r:id="rId35"/>
    <tablePart r:id="rId36"/>
    <tablePart r:id="rId37"/>
    <tablePart r:id="rId38"/>
    <tablePart r:id="rId3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E2FAF-055F-4ED9-B9AA-D09A6D847BD6}">
  <dimension ref="A1:Q105"/>
  <sheetViews>
    <sheetView tabSelected="1" topLeftCell="A14" zoomScaleNormal="100" workbookViewId="0">
      <selection activeCell="A7" sqref="A7"/>
    </sheetView>
  </sheetViews>
  <sheetFormatPr defaultRowHeight="14.5" x14ac:dyDescent="0.35"/>
  <cols>
    <col min="2" max="2" width="50.453125" style="1" customWidth="1"/>
    <col min="3" max="3" width="25.7265625" customWidth="1"/>
    <col min="4" max="4" width="16.54296875" customWidth="1"/>
    <col min="5" max="5" width="47" customWidth="1"/>
    <col min="6" max="6" width="30.7265625" customWidth="1"/>
    <col min="7" max="7" width="19.1796875" customWidth="1"/>
    <col min="8" max="8" width="37.26953125" customWidth="1"/>
    <col min="9" max="9" width="27" customWidth="1"/>
    <col min="10" max="10" width="22.54296875" customWidth="1"/>
  </cols>
  <sheetData>
    <row r="1" spans="1:17" x14ac:dyDescent="0.35">
      <c r="A1" s="236"/>
      <c r="B1" s="197"/>
      <c r="C1" s="236"/>
      <c r="D1" s="236"/>
      <c r="E1" s="236"/>
      <c r="F1" s="236"/>
      <c r="G1" s="236"/>
      <c r="H1" s="236"/>
      <c r="I1" s="236"/>
      <c r="J1" s="236"/>
      <c r="K1" s="236"/>
      <c r="L1" s="236"/>
      <c r="M1" s="236"/>
      <c r="N1" s="236"/>
      <c r="O1" s="236"/>
      <c r="P1" s="236"/>
      <c r="Q1" s="236"/>
    </row>
    <row r="2" spans="1:17" x14ac:dyDescent="0.35">
      <c r="A2" s="236"/>
      <c r="B2" s="197"/>
      <c r="C2" s="236"/>
      <c r="D2" s="236"/>
      <c r="E2" s="236"/>
      <c r="F2" s="236"/>
      <c r="G2" s="236"/>
      <c r="H2" s="236"/>
      <c r="I2" s="236"/>
      <c r="J2" s="236"/>
      <c r="K2" s="236"/>
      <c r="L2" s="236"/>
      <c r="M2" s="236"/>
      <c r="N2" s="236"/>
      <c r="O2" s="236"/>
      <c r="P2" s="236"/>
      <c r="Q2" s="236"/>
    </row>
    <row r="3" spans="1:17" x14ac:dyDescent="0.35">
      <c r="A3" s="236"/>
      <c r="B3" s="197"/>
      <c r="C3" s="236"/>
      <c r="D3" s="236"/>
      <c r="E3" s="236"/>
      <c r="F3" s="236"/>
      <c r="G3" s="236"/>
      <c r="H3" s="236"/>
      <c r="I3" s="236"/>
      <c r="J3" s="236"/>
      <c r="K3" s="236"/>
      <c r="L3" s="236"/>
      <c r="M3" s="236"/>
      <c r="N3" s="236"/>
      <c r="O3" s="236"/>
      <c r="P3" s="236"/>
      <c r="Q3" s="236"/>
    </row>
    <row r="4" spans="1:17" x14ac:dyDescent="0.35">
      <c r="A4" s="236"/>
      <c r="B4" s="197"/>
      <c r="C4" s="236"/>
      <c r="D4" s="236"/>
      <c r="E4" s="236"/>
      <c r="F4" s="236"/>
      <c r="G4" s="236"/>
      <c r="H4" s="236"/>
      <c r="I4" s="236"/>
      <c r="J4" s="236"/>
      <c r="K4" s="236"/>
      <c r="L4" s="236"/>
      <c r="M4" s="236"/>
      <c r="N4" s="236"/>
      <c r="O4" s="236"/>
      <c r="P4" s="236"/>
      <c r="Q4" s="236"/>
    </row>
    <row r="5" spans="1:17" x14ac:dyDescent="0.35">
      <c r="A5" t="s">
        <v>3</v>
      </c>
      <c r="B5" s="1" t="s">
        <v>4</v>
      </c>
      <c r="C5" t="s">
        <v>5</v>
      </c>
      <c r="D5" t="s">
        <v>238</v>
      </c>
      <c r="E5" t="s">
        <v>6</v>
      </c>
      <c r="F5" t="s">
        <v>7</v>
      </c>
      <c r="G5" t="s">
        <v>8</v>
      </c>
      <c r="H5" t="s">
        <v>10</v>
      </c>
      <c r="I5" t="s">
        <v>11</v>
      </c>
      <c r="J5" t="s">
        <v>590</v>
      </c>
      <c r="K5" s="236"/>
      <c r="L5" s="236"/>
      <c r="M5" s="236"/>
      <c r="N5" s="236"/>
      <c r="O5" s="236"/>
      <c r="P5" s="236"/>
      <c r="Q5" s="236"/>
    </row>
    <row r="6" spans="1:17" ht="121" hidden="1" customHeight="1" x14ac:dyDescent="0.35">
      <c r="A6" t="str" cm="1">
        <f t="array" ref="A6">IFERROR(INDEX(_im01[Goal '#], SMALL(IF(_im01[Success Indicator]&lt;&gt; "Removed", ROW(_im01[Goal '#])-ROW(INDEX(_im01[Goal '#],1,1))+1), ROW(1:1))), "")</f>
        <v>1.1</v>
      </c>
      <c r="B6" s="1" t="str" cm="1">
        <f t="array" ref="B6">IFERROR(INDEX(_im01[Success Indicator], SMALL(IF(_im01[Success Indicator]&lt;&gt; "Removed", ROW(_im01[Success Indicator])-ROW(INDEX(_im01[Success Indicator],1,1))+1), ROW(1:1))), "")</f>
        <v>Campus has formally documented (e.g., Policy, Resolution, or Procedure) a process to ensure the timely adoption of textbooks and other instructional materials.</v>
      </c>
      <c r="C6" s="1" t="str" cm="1">
        <f t="array" ref="C6">IFERROR(INDEX(_im01[Department Stakeholder?], SMALL(IF(_im01[Success Indicator]&lt;&gt; "Removed", ROW(_im01[Department Stakeholder?])-ROW(INDEX(_im01[Department Stakeholder?],1,1))+1), ROW(1:1))), "")</f>
        <v>AVP DASW</v>
      </c>
      <c r="D6" t="str" cm="1">
        <f t="array" ref="D6">IFERROR(INDEX(_im01[2021 Status], SMALL(IF(_im01[Success Indicator]&lt;&gt; "Removed", ROW(_im01[2021 Status])-ROW(INDEX(_im01[2021 Status],1,1))+1), ROW(1:1))), "")</f>
        <v>Established</v>
      </c>
      <c r="E6" s="1" t="str" cm="1">
        <f t="array" ref="E6">IFERROR(INDEX(_im01[2021 Evidence], SMALL(IF(_im01[Success Indicator]&lt;&gt; "Removed", ROW(_im01[2021 Evidence])-ROW(INDEX(_im01[2021 Evidence],1,1))+1), ROW(1:1))), "")</f>
        <v xml:space="preserve">ATI Executive Sponsor Campus has a policy in place http://senate.sfsu.edu/content/policy-timely-adoption-textbooks-students Campus has an auto-adopt policy in place for all previously taught sections to further help textbook adoption.  https://ucorp.sfsu.edu/sites/default/files/board/agendas/ucorp-bod-minutes-20151008.pdf </v>
      </c>
      <c r="F6" s="151" t="s">
        <v>28</v>
      </c>
      <c r="G6" t="s">
        <v>15</v>
      </c>
      <c r="I6" s="187" t="s">
        <v>29</v>
      </c>
      <c r="J6" s="188">
        <f>IF(ISBLANK(_im01_gap[[#This Row],[2023 Status]]), "2023 Status Empty",
IF(_im01_gap[[#This Row],[2023 Status]] = "Not Started", -5,
IFERROR(
    IF(VLOOKUP(_im01_gap[[#This Row],[2021 Status]], _statuses[Status Level]:_statuses[Status Value], 7, FALSE) &gt; VLOOKUP(_im01_gap[[#This Row],[2023 Status]], _statuses[Status Level]:_statuses[Status Value], 7, FALSE),
    -ABS(VLOOKUP(_im01_gap[[#This Row],[2021 Status]], _statuses[Status Level]:_statuses[Status Value], 7, FALSE) - VLOOKUP(_im01_gap[[#This Row],[2023 Status]], _statuses[Status Level]:_statuses[Status Value], 7, FALSE)),
    ABS(VLOOKUP(_im01_gap[[#This Row],[2021 Status]], _statuses[Status Level]:_statuses[Status Value], 7, FALSE) - VLOOKUP(_im01_gap[[#This Row],[2023 Status]], _statuses[Status Level]:_statuses[Status Value], 7, FALSE))),
"Error in Calculation")
))</f>
        <v>-5</v>
      </c>
      <c r="K6" s="236"/>
      <c r="L6" s="236"/>
      <c r="M6" s="236"/>
      <c r="N6" s="236"/>
      <c r="O6" s="236"/>
      <c r="P6" s="236"/>
      <c r="Q6" s="236"/>
    </row>
    <row r="7" spans="1:17" ht="115" customHeight="1" thickBot="1" x14ac:dyDescent="0.4">
      <c r="A7" t="str" cm="1">
        <f t="array" ref="A7">IFERROR(INDEX(_im01[Goal '#], SMALL(IF(_im01[Success Indicator]&lt;&gt; "Removed", ROW(_im01[Goal '#])-ROW(INDEX(_im01[Goal '#],1,1))+1), ROW(2:2))), "")</f>
        <v>1.2</v>
      </c>
      <c r="B7" s="1" t="str" cm="1">
        <f t="array" ref="B7">IFERROR(INDEX(_im01[Success Indicator], SMALL(IF(_im01[Success Indicator]&lt;&gt; "Removed", ROW(_im01[Success Indicator])-ROW(INDEX(_im01[Success Indicator],1,1))+1), ROW(2:2))), "")</f>
        <v>Develop a process (e.g., developed and documented practices, specified staff time, educational/training resources, and technology) to achieve compliance with timely adoption.</v>
      </c>
      <c r="C7" s="1" t="str" cm="1">
        <f t="array" ref="C7">IFERROR(INDEX(_im01[Department Stakeholder?], SMALL(IF(_im01[Success Indicator]&lt;&gt; "Removed", ROW(_im01[Department Stakeholder?])-ROW(INDEX(_im01[Department Stakeholder?],1,1))+1), ROW(2:2))), "")</f>
        <v>Senior Director of Teaching and Learning Programs and Services</v>
      </c>
      <c r="D7" t="str" cm="1">
        <f t="array" ref="D7">IFERROR(INDEX(_im01[2021 Status], SMALL(IF(_im01[Success Indicator]&lt;&gt; "Removed", ROW(_im01[2021 Status])-ROW(INDEX(_im01[2021 Status],1,1))+1), ROW(2:2))), "")</f>
        <v>Established</v>
      </c>
      <c r="E7" s="1" t="str" cm="1">
        <f t="array" ref="E7">IFERROR(INDEX(_im01[2021 Evidence], SMALL(IF(_im01[Success Indicator]&lt;&gt; "Removed", ROW(_im01[2021 Evidence])-ROW(INDEX(_im01[2021 Evidence],1,1))+1), ROW(2:2))), "")</f>
        <v>Faculty are notified about auto-adoption and deadlines via email each semester. Sample documentation at Box\ATI\Admin\Evidence for Annual Reports\2017-18\IM Responsibility for process lies with Associate Vice President for Academic Affairs Operations. Adoption numbers are tracked by SFSU Bookstore textbook manager.</v>
      </c>
      <c r="F7" s="151" t="s">
        <v>134</v>
      </c>
      <c r="G7" t="s">
        <v>15</v>
      </c>
      <c r="I7" s="151" t="s">
        <v>135</v>
      </c>
      <c r="J7" s="189">
        <f>IF(ISBLANK(_im01_gap[[#This Row],[2023 Status]]), "2023 Status Empty",
IF(_im01_gap[[#This Row],[2023 Status]] = "Not Started", -5,
IFERROR(
    IF(VLOOKUP(_im01_gap[[#This Row],[2021 Status]], _statuses[Status Level]:_statuses[Status Value], 7, FALSE) &gt; VLOOKUP(_im01_gap[[#This Row],[2023 Status]], _statuses[Status Level]:_statuses[Status Value], 7, FALSE),
    -ABS(VLOOKUP(_im01_gap[[#This Row],[2021 Status]], _statuses[Status Level]:_statuses[Status Value], 7, FALSE) - VLOOKUP(_im01_gap[[#This Row],[2023 Status]], _statuses[Status Level]:_statuses[Status Value], 7, FALSE)),
    ABS(VLOOKUP(_im01_gap[[#This Row],[2021 Status]], _statuses[Status Level]:_statuses[Status Value], 7, FALSE) - VLOOKUP(_im01_gap[[#This Row],[2023 Status]], _statuses[Status Level]:_statuses[Status Value], 7, FALSE))),
"Error in Calculation")
))</f>
        <v>-5</v>
      </c>
      <c r="K7" s="236"/>
      <c r="L7" s="236"/>
      <c r="M7" s="236"/>
      <c r="N7" s="236"/>
      <c r="O7" s="236"/>
      <c r="P7" s="236"/>
      <c r="Q7" s="236"/>
    </row>
    <row r="8" spans="1:17" ht="62.15" hidden="1" customHeight="1" thickBot="1" x14ac:dyDescent="0.4">
      <c r="A8" s="236" t="str" cm="1">
        <f t="array" ref="A8">IFERROR(INDEX(_im01[Goal '#], SMALL(IF(_im01[Success Indicator]&lt;&gt; "Removed", ROW(_im01[Goal '#])-ROW(INDEX(_im01[Goal '#],1,1))+1), ROW(3:3))), "")</f>
        <v>1.6</v>
      </c>
      <c r="B8" s="197" t="str" cm="1">
        <f t="array" ref="B8">IFERROR(INDEX(_im01[Success Indicator], SMALL(IF(_im01[Success Indicator]&lt;&gt; "Removed", ROW(_im01[Success Indicator])-ROW(INDEX(_im01[Success Indicator],1,1))+1), ROW(3:3))), "")</f>
        <v>(NEW) Develop a process to distribute timely adoption performance reports to campus administration each semester.</v>
      </c>
      <c r="C8" s="197" t="str" cm="1">
        <f t="array" ref="C8">IFERROR(INDEX(_im01[Department Stakeholder?], SMALL(IF(_im01[Success Indicator]&lt;&gt; "Removed", ROW(_im01[Department Stakeholder?])-ROW(INDEX(_im01[Department Stakeholder?],1,1))+1), ROW(3:3))), "")</f>
        <v>Textbook Manager</v>
      </c>
      <c r="D8" s="236" t="str" cm="1">
        <f t="array" ref="D8">IFERROR(INDEX(_im01[2021 Status], SMALL(IF(_im01[Success Indicator]&lt;&gt; "Removed", ROW(_im01[2021 Status])-ROW(INDEX(_im01[2021 Status],1,1))+1), ROW(3:3))), "")</f>
        <v>Defined</v>
      </c>
      <c r="E8" s="197" t="str" cm="1">
        <f t="array" ref="E8">IFERROR(INDEX(_im01[2021 Evidence], SMALL(IF(_im01[Success Indicator]&lt;&gt; "Removed", ROW(_im01[2021 Evidence])-ROW(INDEX(_im01[2021 Evidence],1,1))+1), ROW(3:3))), "")</f>
        <v>SFSU Bookstore textbook manager Performance reports are distributed to campus administration for Fall and Spring from the campus bookstore. These include late hire faculty.</v>
      </c>
      <c r="F8" s="220"/>
      <c r="G8" s="236" t="s">
        <v>15</v>
      </c>
      <c r="H8" s="236"/>
      <c r="I8" s="221"/>
      <c r="J8" s="189">
        <f>IF(ISBLANK(_im01_gap[[#This Row],[2023 Status]]), "2023 Status Empty",
IF(_im01_gap[[#This Row],[2023 Status]] = "Not Started", -5,
IFERROR(
    IF(VLOOKUP(_im01_gap[[#This Row],[2021 Status]], _statuses[Status Level]:_statuses[Status Value], 7, FALSE) &gt; VLOOKUP(_im01_gap[[#This Row],[2023 Status]], _statuses[Status Level]:_statuses[Status Value], 7, FALSE),
    -ABS(VLOOKUP(_im01_gap[[#This Row],[2021 Status]], _statuses[Status Level]:_statuses[Status Value], 7, FALSE) - VLOOKUP(_im01_gap[[#This Row],[2023 Status]], _statuses[Status Level]:_statuses[Status Value], 7, FALSE)),
    ABS(VLOOKUP(_im01_gap[[#This Row],[2021 Status]], _statuses[Status Level]:_statuses[Status Value], 7, FALSE) - VLOOKUP(_im01_gap[[#This Row],[2023 Status]], _statuses[Status Level]:_statuses[Status Value], 7, FALSE))),
"Error in Calculation")
))</f>
        <v>-5</v>
      </c>
      <c r="K8" s="236"/>
      <c r="L8" s="236"/>
      <c r="M8" s="236"/>
      <c r="N8" s="236"/>
      <c r="O8" s="236"/>
      <c r="P8" s="236"/>
      <c r="Q8" s="236"/>
    </row>
    <row r="9" spans="1:17" x14ac:dyDescent="0.35">
      <c r="A9" s="236"/>
      <c r="B9" s="197"/>
      <c r="C9" s="236" t="str" cm="1">
        <f t="array" ref="C9">IFERROR(INDEX(_im01[Department Stakeholder?], SMALL(IF(_im01[Success Indicator]&lt;&gt; "Removed", ROW(_im01[Department Stakeholder?])-ROW(INDEX(_im01[Department Stakeholder?],1,1))+1), ROW(#REF!))), "")</f>
        <v/>
      </c>
      <c r="D9" s="236"/>
      <c r="E9" s="236"/>
      <c r="F9" s="236"/>
      <c r="G9" s="236"/>
      <c r="H9" s="236"/>
      <c r="I9" s="236"/>
      <c r="J9" s="236"/>
      <c r="K9" s="236"/>
      <c r="L9" s="236"/>
      <c r="M9" s="236"/>
      <c r="N9" s="236"/>
      <c r="O9" s="236"/>
      <c r="P9" s="236"/>
      <c r="Q9" s="236"/>
    </row>
    <row r="10" spans="1:17" x14ac:dyDescent="0.35">
      <c r="A10" s="236" t="str" cm="1">
        <f t="array" ref="A10">IFERROR(INDEX(_im01[Goal '#], SMALL(IF(_im01[Success Indicator]&lt;&gt; "Removed", ROW(_im01[Goal '#])-ROW(INDEX(_im01[Goal '#],1,1))+1), ROW(#REF!))), "")</f>
        <v/>
      </c>
      <c r="B10" s="197"/>
      <c r="C10" s="236" t="str" cm="1">
        <f t="array" ref="C10">IFERROR(INDEX(_im01[Department Stakeholder?], SMALL(IF(_im01[Success Indicator]&lt;&gt; "Removed", ROW(_im01[Department Stakeholder?])-ROW(INDEX(_im01[Department Stakeholder?],1,1))+1), ROW(#REF!))), "")</f>
        <v/>
      </c>
      <c r="D10" s="236"/>
      <c r="E10" s="236"/>
      <c r="F10" s="236"/>
      <c r="G10" s="236"/>
      <c r="H10" s="236"/>
      <c r="I10" s="236"/>
      <c r="J10" s="236"/>
      <c r="K10" s="236"/>
      <c r="L10" s="236"/>
      <c r="M10" s="236"/>
      <c r="N10" s="236"/>
      <c r="O10" s="236"/>
      <c r="P10" s="236"/>
      <c r="Q10" s="236"/>
    </row>
    <row r="11" spans="1:17" x14ac:dyDescent="0.35">
      <c r="A11" s="236"/>
      <c r="B11" s="197"/>
      <c r="C11" s="236"/>
      <c r="D11" s="236"/>
      <c r="E11" s="236"/>
      <c r="F11" s="236"/>
      <c r="G11" s="236"/>
      <c r="H11" s="236"/>
      <c r="I11" s="236"/>
      <c r="J11" s="236"/>
      <c r="K11" s="236"/>
      <c r="L11" s="236"/>
      <c r="M11" s="236"/>
      <c r="N11" s="236"/>
      <c r="O11" s="236"/>
      <c r="P11" s="236"/>
      <c r="Q11" s="236"/>
    </row>
    <row r="12" spans="1:17" x14ac:dyDescent="0.35">
      <c r="A12" s="236"/>
      <c r="B12" s="197"/>
      <c r="C12" s="236"/>
      <c r="D12" s="236"/>
      <c r="E12" s="236"/>
      <c r="F12" s="236"/>
      <c r="G12" s="236"/>
      <c r="H12" s="236"/>
      <c r="I12" s="236"/>
      <c r="J12" s="236"/>
      <c r="K12" s="236"/>
      <c r="L12" s="236"/>
      <c r="M12" s="236"/>
      <c r="N12" s="236"/>
      <c r="O12" s="236"/>
      <c r="P12" s="236"/>
      <c r="Q12" s="236"/>
    </row>
    <row r="13" spans="1:17" ht="15" thickBot="1" x14ac:dyDescent="0.4">
      <c r="A13" t="s">
        <v>3</v>
      </c>
      <c r="B13" s="1" t="s">
        <v>4</v>
      </c>
      <c r="C13" t="s">
        <v>5</v>
      </c>
      <c r="D13" t="s">
        <v>238</v>
      </c>
      <c r="E13" t="s">
        <v>6</v>
      </c>
      <c r="F13" t="s">
        <v>7</v>
      </c>
      <c r="G13" t="s">
        <v>8</v>
      </c>
      <c r="H13" t="s">
        <v>10</v>
      </c>
      <c r="I13" t="s">
        <v>11</v>
      </c>
      <c r="J13" t="s">
        <v>590</v>
      </c>
      <c r="K13" s="236"/>
      <c r="L13" s="236"/>
      <c r="M13" s="236"/>
      <c r="N13" s="236"/>
      <c r="O13" s="236"/>
      <c r="P13" s="236"/>
      <c r="Q13" s="236"/>
    </row>
    <row r="14" spans="1:17" ht="169" customHeight="1" x14ac:dyDescent="0.35">
      <c r="A14" t="str" cm="1">
        <f t="array" ref="A14">IFERROR(INDEX(_im04[Goal '#], SMALL(IF(_im04[Success Indicator]&lt;&gt; "Removed", ROW(_im04[Goal '#])-ROW(INDEX(_im04[Goal '#],1,1))+1), ROW(1:1))), "")</f>
        <v>4.1</v>
      </c>
      <c r="B14" s="1" t="str" cm="1">
        <f t="array" ref="B14">IFERROR(INDEX(_im04[Success Indicator], SMALL(IF(_im04[Success Indicator]&lt;&gt; "Removed", ROW(_im04[Success Indicator])-ROW(INDEX(_im04[Success Indicator],1,1))+1), ROW(1:1))), "")</f>
        <v>Develop a process to promote the posting of instructional materials to the university approved LMS and other platforms.</v>
      </c>
      <c r="C14" s="1" t="str" cm="1">
        <f t="array" ref="C14">INDEX(_im04[Department Stakeholder?], SMALL(IF(_im04[Success Indicator]&lt;&gt; "Removed", ROW(_im04[Department Stakeholder?])-ROW(INDEX(_im04[Department Stakeholder?],1,1))+1), ROW(1:1)))</f>
        <v>Senior Director of Teaching and Learning Programs and Services</v>
      </c>
      <c r="D14" t="str" cm="1">
        <f t="array" ref="D14">IFERROR(INDEX(_im04[2021 Status], SMALL(IF(_im04[Success Indicator]&lt;&gt; "Removed", ROW(_im04[2021 Status])-ROW(INDEX(_im04[2021 Status],1,1))+1), ROW(1:1))), "")</f>
        <v>Established</v>
      </c>
      <c r="E14" s="161" t="str" cm="1">
        <f t="array" ref="E14">IFERROR(INDEX(_im04[2021 Evidence], SMALL(IF(_im04[Success Indicator]&lt;&gt; "Removed", ROW(_im04[2021 Evidence])-ROW(INDEX(_im04[2021 Evidence],1,1))+1), ROW(1:1))), "")</f>
        <v xml:space="preserve">ATI Executive Sponsor https://access.sfsu.edu/ati/content/sf-state-course-accessibility-checklist Procedure: https://athelp.sfsu.edu/hc/en-us/categories/200355657-iLearn and https://canvas.sfsu.edu/canvas/training </v>
      </c>
      <c r="F14" s="1" t="s">
        <v>138</v>
      </c>
      <c r="G14" t="s">
        <v>38</v>
      </c>
      <c r="J14" s="188">
        <f>IF(ISBLANK(_im04_gap[[#This Row],[2023 Status]]), "2023 Status Empty",
IF(_im04_gap[[#This Row],[2023 Status]] = "Not Started", -5,
IFERROR(
    IF(VLOOKUP(_im04_gap[[#This Row],[2021 Status]], _statuses[Status Level]:_statuses[Status Value], 7, FALSE) &gt; VLOOKUP(_im04_gap[[#This Row],[2023 Status]], _statuses[Status Level]:_statuses[Status Value], 7, FALSE),
    -ABS(VLOOKUP(_im04_gap[[#This Row],[2021 Status]], _statuses[Status Level]:_statuses[Status Value], 7, FALSE) - VLOOKUP(_im04_gap[[#This Row],[2023 Status]], _statuses[Status Level]:_statuses[Status Value], 7, FALSE)),
    ABS(VLOOKUP(_im04_gap[[#This Row],[2021 Status]], _statuses[Status Level]:_statuses[Status Value], 7, FALSE) - VLOOKUP(_im04_gap[[#This Row],[2023 Status]], _statuses[Status Level]:_statuses[Status Value], 7, FALSE))),
"Error in Calculation")
))</f>
        <v>-1</v>
      </c>
      <c r="K14" s="236"/>
      <c r="L14" s="236"/>
      <c r="M14" s="236"/>
      <c r="N14" s="236"/>
      <c r="O14" s="236"/>
      <c r="P14" s="236"/>
      <c r="Q14" s="236"/>
    </row>
    <row r="15" spans="1:17" ht="58" x14ac:dyDescent="0.35">
      <c r="A15" t="str" cm="1">
        <f t="array" ref="A15">IFERROR(INDEX(_im04[Goal '#], SMALL(IF(_im04[Success Indicator]&lt;&gt; "Removed", ROW(_im04[Goal '#])-ROW(INDEX(_im04[Goal '#],1,1))+1), ROW(2:2))), "")</f>
        <v>4.3</v>
      </c>
      <c r="B15" s="1" t="str" cm="1">
        <f t="array" ref="B15">IFERROR(INDEX(_im04[Success Indicator], SMALL(IF(_im04[Success Indicator]&lt;&gt; "Removed", ROW(_im04[Success Indicator])-ROW(INDEX(_im04[Success Indicator],1,1))+1), ROW(2:2))), "")</f>
        <v>Develop a process and document specific guidelines and procedures for creating accessible course content hosted in the campus LMS.</v>
      </c>
      <c r="C15" s="1" t="str" cm="1">
        <f t="array" ref="C15">INDEX(_im04[Department Stakeholder?], SMALL(IF(_im04[Success Indicator]&lt;&gt; "Removed", ROW(_im04[Department Stakeholder?])-ROW(INDEX(_im04[Department Stakeholder?],1,1))+1), ROW(2:2)))</f>
        <v>Senior Director of Teaching and Learning Programs and Services</v>
      </c>
      <c r="D15" t="str" cm="1">
        <f t="array" ref="D15">IFERROR(INDEX(_im04[2021 Status], SMALL(IF(_im04[Success Indicator]&lt;&gt; "Removed", ROW(_im04[2021 Status])-ROW(INDEX(_im04[2021 Status],1,1))+1), ROW(2:2))), "")</f>
        <v>Established</v>
      </c>
      <c r="E15" s="161" t="str" cm="1">
        <f t="array" ref="E15">IFERROR(INDEX(_im04[2021 Evidence], SMALL(IF(_im04[Success Indicator]&lt;&gt; "Removed", ROW(_im04[2021 Evidence])-ROW(INDEX(_im04[2021 Evidence],1,1))+1), ROW(2:2))), "")</f>
        <v>Accessible Media Program Coordinator and ATS Program Manager have administrator access to all courses in LMS support sites. Access to this is granted a few days before the start of the Academic Year.</v>
      </c>
      <c r="F15" s="1" t="s">
        <v>141</v>
      </c>
      <c r="G15" t="s">
        <v>15</v>
      </c>
      <c r="H15" t="s">
        <v>142</v>
      </c>
      <c r="J15" s="190">
        <f>IF(ISBLANK(_im04_gap[[#This Row],[2023 Status]]), "2023 Status Empty",
IF(_im04_gap[[#This Row],[2023 Status]] = "Not Started", -5,
IFERROR(
    IF(VLOOKUP(_im04_gap[[#This Row],[2021 Status]], _statuses[Status Level]:_statuses[Status Value], 7, FALSE) &gt; VLOOKUP(_im04_gap[[#This Row],[2023 Status]], _statuses[Status Level]:_statuses[Status Value], 7, FALSE),
    -ABS(VLOOKUP(_im04_gap[[#This Row],[2021 Status]], _statuses[Status Level]:_statuses[Status Value], 7, FALSE) - VLOOKUP(_im04_gap[[#This Row],[2023 Status]], _statuses[Status Level]:_statuses[Status Value], 7, FALSE)),
    ABS(VLOOKUP(_im04_gap[[#This Row],[2021 Status]], _statuses[Status Level]:_statuses[Status Value], 7, FALSE) - VLOOKUP(_im04_gap[[#This Row],[2023 Status]], _statuses[Status Level]:_statuses[Status Value], 7, FALSE))),
"Error in Calculation")
))</f>
        <v>-5</v>
      </c>
      <c r="K15" s="236"/>
      <c r="L15" s="236"/>
      <c r="M15" s="236"/>
      <c r="N15" s="236"/>
      <c r="O15" s="236"/>
      <c r="P15" s="236"/>
      <c r="Q15" s="236"/>
    </row>
    <row r="16" spans="1:17" ht="58" x14ac:dyDescent="0.35">
      <c r="A16" t="str" cm="1">
        <f t="array" ref="A16">IFERROR(INDEX(_im04[Goal '#], SMALL(IF(_im04[Success Indicator]&lt;&gt; "Removed", ROW(_im04[Goal '#])-ROW(INDEX(_im04[Goal '#],1,1))+1), ROW(3:3))), "")</f>
        <v>4.5</v>
      </c>
      <c r="B16" s="1" t="str" cm="1">
        <f t="array" ref="B16">IFERROR(INDEX(_im04[Success Indicator], SMALL(IF(_im04[Success Indicator]&lt;&gt; "Removed", ROW(_im04[Success Indicator])-ROW(INDEX(_im04[Success Indicator],1,1))+1), ROW(3:3))), "")</f>
        <v>Develop a process that provides alternate media production staff with timely access to instructional materials within the university approved LMS and other platforms.</v>
      </c>
      <c r="C16" s="1" t="str" cm="1">
        <f t="array" ref="C16">INDEX(_im04[Department Stakeholder?], SMALL(IF(_im04[Success Indicator]&lt;&gt; "Removed", ROW(_im04[Department Stakeholder?])-ROW(INDEX(_im04[Department Stakeholder?],1,1))+1), ROW(3:3)))</f>
        <v>Senior Accessible Technology Services Coordinator</v>
      </c>
      <c r="D16" t="str" cm="1">
        <f t="array" ref="D16">IFERROR(INDEX(_im04[2021 Status], SMALL(IF(_im04[Success Indicator]&lt;&gt; "Removed", ROW(_im04[2021 Status])-ROW(INDEX(_im04[2021 Status],1,1))+1), ROW(3:3))), "")</f>
        <v>Not Started</v>
      </c>
      <c r="E16" s="161" t="str" cm="1">
        <f t="array" ref="E16">IFERROR(INDEX(_im04[2021 Evidence], SMALL(IF(_im04[Success Indicator]&lt;&gt; "Removed", ROW(_im04[2021 Evidence])-ROW(INDEX(_im04[2021 Evidence],1,1))+1), ROW(3:3))), "")</f>
        <v>No Evidence provided for 2021</v>
      </c>
      <c r="F16" s="1"/>
      <c r="G16" t="s">
        <v>42</v>
      </c>
      <c r="H16" s="1" t="s">
        <v>116</v>
      </c>
      <c r="J16" s="190">
        <f>IF(ISBLANK(_im04_gap[[#This Row],[2023 Status]]), "2023 Status Empty",
IF(_im04_gap[[#This Row],[2023 Status]] = "Not Started", -5,
IFERROR(
    IF(VLOOKUP(_im04_gap[[#This Row],[2021 Status]], _statuses[Status Level]:_statuses[Status Value], 7, FALSE) &gt; VLOOKUP(_im04_gap[[#This Row],[2023 Status]], _statuses[Status Level]:_statuses[Status Value], 7, FALSE),
    -ABS(VLOOKUP(_im04_gap[[#This Row],[2021 Status]], _statuses[Status Level]:_statuses[Status Value], 7, FALSE) - VLOOKUP(_im04_gap[[#This Row],[2023 Status]], _statuses[Status Level]:_statuses[Status Value], 7, FALSE)),
    ABS(VLOOKUP(_im04_gap[[#This Row],[2021 Status]], _statuses[Status Level]:_statuses[Status Value], 7, FALSE) - VLOOKUP(_im04_gap[[#This Row],[2023 Status]], _statuses[Status Level]:_statuses[Status Value], 7, FALSE))),
"Error in Calculation")
))</f>
        <v>1</v>
      </c>
      <c r="K16" s="236"/>
      <c r="L16" s="236"/>
      <c r="M16" s="236"/>
      <c r="N16" s="236"/>
      <c r="O16" s="236"/>
      <c r="P16" s="236"/>
      <c r="Q16" s="236"/>
    </row>
    <row r="17" spans="1:17" ht="58" customHeight="1" thickBot="1" x14ac:dyDescent="0.4">
      <c r="A17" t="str" cm="1">
        <f t="array" ref="A17">IFERROR(INDEX(_im04[Goal '#], SMALL(IF(_im04[Success Indicator]&lt;&gt; "Removed", ROW(_im04[Goal '#])-ROW(INDEX(_im04[Goal '#],1,1))+1), ROW(4:4))), "")</f>
        <v>4.11</v>
      </c>
      <c r="B17" s="1" t="str" cm="1">
        <f t="array" ref="B17">IFERROR(INDEX(_im04[Success Indicator], SMALL(IF(_im04[Success Indicator]&lt;&gt; "Removed", ROW(_im04[Success Indicator])-ROW(INDEX(_im04[Success Indicator],1,1))+1), ROW(4:4))), "")</f>
        <v>(NEW) Developed a process to review the accessibility of faculty-maintained websites or web applications, whether hosted on the campus domain or elsewhere</v>
      </c>
      <c r="C17" s="1" t="str" cm="1">
        <f t="array" ref="C17">INDEX(_im04[Department Stakeholder?], SMALL(IF(_im04[Success Indicator]&lt;&gt; "Removed", ROW(_im04[Department Stakeholder?])-ROW(INDEX(_im04[Department Stakeholder?],1,1))+1), ROW(4:4)))</f>
        <v>AVP Academic Technology</v>
      </c>
      <c r="D17" t="str" cm="1">
        <f t="array" ref="D17">IFERROR(INDEX(_im04[2021 Status], SMALL(IF(_im04[Success Indicator]&lt;&gt; "Removed", ROW(_im04[2021 Status])-ROW(INDEX(_im04[2021 Status],1,1))+1), ROW(4:4))), "")</f>
        <v>Not Started</v>
      </c>
      <c r="E17" s="161" t="str" cm="1">
        <f t="array" ref="E17">IFERROR(INDEX(_im04[2021 Evidence], SMALL(IF(_im04[Success Indicator]&lt;&gt; "Removed", ROW(_im04[2021 Evidence])-ROW(INDEX(_im04[2021 Evidence],1,1))+1), ROW(4:4))), "")</f>
        <v>Not Started</v>
      </c>
      <c r="F17" s="1"/>
      <c r="G17" t="s">
        <v>15</v>
      </c>
      <c r="J17" s="189">
        <f>IF(ISBLANK(_im04_gap[[#This Row],[2023 Status]]), "2023 Status Empty",
IF(_im04_gap[[#This Row],[2023 Status]] = "Not Started", -5,
IFERROR(
    IF(VLOOKUP(_im04_gap[[#This Row],[2021 Status]], _statuses[Status Level]:_statuses[Status Value], 7, FALSE) &gt; VLOOKUP(_im04_gap[[#This Row],[2023 Status]], _statuses[Status Level]:_statuses[Status Value], 7, FALSE),
    -ABS(VLOOKUP(_im04_gap[[#This Row],[2021 Status]], _statuses[Status Level]:_statuses[Status Value], 7, FALSE) - VLOOKUP(_im04_gap[[#This Row],[2023 Status]], _statuses[Status Level]:_statuses[Status Value], 7, FALSE)),
    ABS(VLOOKUP(_im04_gap[[#This Row],[2021 Status]], _statuses[Status Level]:_statuses[Status Value], 7, FALSE) - VLOOKUP(_im04_gap[[#This Row],[2023 Status]], _statuses[Status Level]:_statuses[Status Value], 7, FALSE))),
"Error in Calculation")
))</f>
        <v>-5</v>
      </c>
      <c r="K17" s="236"/>
      <c r="L17" s="236"/>
      <c r="M17" s="236"/>
      <c r="N17" s="236"/>
      <c r="O17" s="236"/>
      <c r="P17" s="236"/>
      <c r="Q17" s="236"/>
    </row>
    <row r="18" spans="1:17" x14ac:dyDescent="0.35">
      <c r="A18" s="236" t="str" cm="1">
        <f t="array" ref="A18">IFERROR(INDEX(_im04[Goal '#], SMALL(IF(_im04[Success Indicator]&lt;&gt; "Removed", ROW(_im04[Goal '#])-ROW(INDEX(_im04[Goal '#],1,1))+1), ROW(#REF!))), "")</f>
        <v/>
      </c>
      <c r="B18" s="197" t="str" cm="1">
        <f t="array" ref="B18">IFERROR(INDEX(_im04[Success Indicator], SMALL(IF(_im04[Success Indicator]&lt;&gt; "Removed", ROW(_im04[Success Indicator])-ROW(INDEX(_im04[Success Indicator],1,1))+1), ROW(#REF!))), "")</f>
        <v/>
      </c>
      <c r="C18" s="197" t="str" cm="1">
        <f t="array" ref="C18">IFERROR(INDEX(_im04[Department Stakeholder?], SMALL(IF(_im04[Success Indicator]&lt;&gt; "Removed", ROW(_im04[Department Stakeholder?])-ROW(INDEX(_im04[Department Stakeholder?],1,1))+1), ROW(#REF!))), "")</f>
        <v/>
      </c>
      <c r="D18" s="236" t="str" cm="1">
        <f t="array" ref="D18">IFERROR(INDEX(_im04[2021 Status], SMALL(IF(_im04[Success Indicator]&lt;&gt; "Removed", ROW(_im04[2021 Status])-ROW(INDEX(_im04[2021 Status],1,1))+1), ROW(#REF!))), "")</f>
        <v/>
      </c>
      <c r="E18" s="197" t="str" cm="1">
        <f t="array" ref="E18">IFERROR(INDEX(_im04[2021 Evidence], SMALL(IF(_im04[Success Indicator]&lt;&gt; "Removed", ROW(_im04[2021 Evidence])-ROW(INDEX(_im04[2021 Evidence],1,1))+1), ROW(#REF!))), "")</f>
        <v/>
      </c>
      <c r="F18" s="197"/>
      <c r="G18" s="236"/>
      <c r="H18" s="236"/>
      <c r="I18" s="236"/>
      <c r="J18" s="236"/>
      <c r="K18" s="236"/>
      <c r="L18" s="236"/>
      <c r="M18" s="236"/>
      <c r="N18" s="236"/>
      <c r="O18" s="236"/>
      <c r="P18" s="236"/>
      <c r="Q18" s="236"/>
    </row>
    <row r="19" spans="1:17" x14ac:dyDescent="0.35">
      <c r="A19" s="236"/>
      <c r="B19" s="197"/>
      <c r="C19" s="197"/>
      <c r="D19" s="236"/>
      <c r="E19" s="197"/>
      <c r="F19" s="197"/>
      <c r="G19" s="236"/>
      <c r="H19" s="236"/>
      <c r="I19" s="236"/>
      <c r="J19" s="236"/>
      <c r="K19" s="236"/>
      <c r="L19" s="236"/>
      <c r="M19" s="236"/>
      <c r="N19" s="236"/>
      <c r="O19" s="236"/>
      <c r="P19" s="236"/>
      <c r="Q19" s="236"/>
    </row>
    <row r="20" spans="1:17" x14ac:dyDescent="0.35">
      <c r="A20" s="236"/>
      <c r="B20" s="197"/>
      <c r="C20" s="197"/>
      <c r="D20" s="236"/>
      <c r="E20" s="198"/>
      <c r="F20" s="236"/>
      <c r="G20" s="236"/>
      <c r="H20" s="236"/>
      <c r="I20" s="236"/>
      <c r="J20" s="236"/>
      <c r="K20" s="236"/>
      <c r="L20" s="236"/>
      <c r="M20" s="236"/>
      <c r="N20" s="236"/>
      <c r="O20" s="236"/>
      <c r="P20" s="236"/>
      <c r="Q20" s="236"/>
    </row>
    <row r="21" spans="1:17" x14ac:dyDescent="0.35">
      <c r="A21" s="236"/>
      <c r="B21" s="197"/>
      <c r="C21" s="197"/>
      <c r="D21" s="236"/>
      <c r="E21" s="198"/>
      <c r="F21" s="236"/>
      <c r="G21" s="236"/>
      <c r="H21" s="236"/>
      <c r="I21" s="236"/>
      <c r="J21" s="236"/>
      <c r="K21" s="236"/>
      <c r="L21" s="236"/>
      <c r="M21" s="236"/>
      <c r="N21" s="236"/>
      <c r="O21" s="236"/>
      <c r="P21" s="236"/>
      <c r="Q21" s="236"/>
    </row>
    <row r="22" spans="1:17" ht="15" thickBot="1" x14ac:dyDescent="0.4">
      <c r="A22" t="s">
        <v>3</v>
      </c>
      <c r="B22" s="1" t="s">
        <v>4</v>
      </c>
      <c r="C22" t="s">
        <v>5</v>
      </c>
      <c r="D22" t="s">
        <v>238</v>
      </c>
      <c r="E22" t="s">
        <v>6</v>
      </c>
      <c r="F22" t="s">
        <v>7</v>
      </c>
      <c r="G22" t="s">
        <v>8</v>
      </c>
      <c r="H22" t="s">
        <v>10</v>
      </c>
      <c r="I22" t="s">
        <v>11</v>
      </c>
      <c r="J22" t="s">
        <v>590</v>
      </c>
      <c r="K22" s="236"/>
      <c r="L22" s="236"/>
      <c r="M22" s="236"/>
      <c r="N22" s="236"/>
      <c r="O22" s="236"/>
      <c r="P22" s="236"/>
      <c r="Q22" s="236"/>
    </row>
    <row r="23" spans="1:17" ht="71.5" customHeight="1" x14ac:dyDescent="0.35">
      <c r="A23" t="str" cm="1">
        <f t="array" ref="A23">IFERROR(INDEX(_im05[Goal '#], SMALL(IF(_im05[Success Indicator]&lt;&gt; "Removed", ROW(_im05[Goal '#])-ROW(INDEX(_im05[Goal '#],1,1))+1), ROW(1:1))), "") &amp; ""</f>
        <v>5.11</v>
      </c>
      <c r="B23" s="1" t="str" cm="1">
        <f t="array" ref="B23">IFERROR(INDEX(_im05[Success Indicator], SMALL(IF(_im05[Success Indicator]&lt;&gt; "Removed", ROW(_im05[Success Indicator])-ROW(INDEX(_im05[Success Indicator],1,1))+1), ROW(1:1))), "") &amp; ""</f>
        <v>(NEW) Developed a process for creating, selecting, adopting, and remediating audio and video assets.</v>
      </c>
      <c r="C23" s="1" t="str" cm="1">
        <f t="array" ref="C23">IFERROR(INDEX(_im05[Department Stakeholder?], SMALL(IF(_im05[Success Indicator]&lt;&gt; "Removed", ROW(_im05[Department Stakeholder?])-ROW(INDEX(_im05[Department Stakeholder?],1,1))+1), ROW(1:1))), "") &amp; ""</f>
        <v>Senior Director of Teaching and Learning Programs and Services</v>
      </c>
      <c r="D23" t="str" cm="1">
        <f t="array" ref="D23">IFERROR(INDEX(_im05[2021 Status], SMALL(IF(_im05[Success Indicator]&lt;&gt; "Removed", ROW(_im05[2021 Status])-ROW(INDEX(_im05[2021 Status],1,1))+1), ROW(1:1))), "") &amp; ""</f>
        <v>Not Started</v>
      </c>
      <c r="E23" s="1" t="str" cm="1">
        <f t="array" ref="E23">IFERROR(INDEX(_im05[2021 Evidence], SMALL(IF(_im05[Success Indicator]&lt;&gt; "Removed", ROW(_im05[2021 Evidence])-ROW(INDEX(_im05[2021 Evidence],1,1))+1), ROW(1:1))), "") &amp; ""</f>
        <v/>
      </c>
      <c r="F23" s="1" t="s">
        <v>144</v>
      </c>
      <c r="G23" t="s">
        <v>15</v>
      </c>
      <c r="I23" t="s">
        <v>145</v>
      </c>
      <c r="J23" s="188">
        <f>IF(ISBLANK(_im05_gap[[#This Row],[2023 Status]]), "2023 Status Empty",
IF(_im05_gap[[#This Row],[2023 Status]] = "Not Started", -5,
IFERROR(
    IF(VLOOKUP(_im05_gap[[#This Row],[2021 Status]], _statuses[Status Level]:_statuses[Status Value], 7, FALSE) &gt; VLOOKUP(_im05_gap[[#This Row],[2023 Status]], _statuses[Status Level]:_statuses[Status Value], 7, FALSE),
    -ABS(VLOOKUP(_im05_gap[[#This Row],[2021 Status]], _statuses[Status Level]:_statuses[Status Value], 7, FALSE) - VLOOKUP(_im05_gap[[#This Row],[2023 Status]], _statuses[Status Level]:_statuses[Status Value], 7, FALSE)),
    ABS(VLOOKUP(_im05_gap[[#This Row],[2021 Status]], _statuses[Status Level]:_statuses[Status Value], 7, FALSE) - VLOOKUP(_im05_gap[[#This Row],[2023 Status]], _statuses[Status Level]:_statuses[Status Value], 7, FALSE))),
"Error in Calculation")
))</f>
        <v>-5</v>
      </c>
      <c r="K23" s="236"/>
      <c r="L23" s="236"/>
      <c r="M23" s="236"/>
      <c r="N23" s="236"/>
      <c r="O23" s="236"/>
      <c r="P23" s="236"/>
      <c r="Q23" s="236"/>
    </row>
    <row r="24" spans="1:17" ht="43.5" x14ac:dyDescent="0.35">
      <c r="A24" t="str" cm="1">
        <f t="array" ref="A24">IFERROR(INDEX(_im05[Goal '#], SMALL(IF(_im05[Success Indicator]&lt;&gt; "Removed", ROW(_im05[Goal '#])-ROW(INDEX(_im05[Goal '#],1,1))+1), ROW(2:2))), "") &amp; ""</f>
        <v>5.12</v>
      </c>
      <c r="B24" s="1" t="str" cm="1">
        <f t="array" ref="B24">IFERROR(INDEX(_im05[Success Indicator], SMALL(IF(_im05[Success Indicator]&lt;&gt; "Removed", ROW(_im05[Success Indicator])-ROW(INDEX(_im05[Success Indicator],1,1))+1), ROW(2:2))), "") &amp; ""</f>
        <v>(NEW) Developed a process for creating, selecting, adopting, and remediating instructor developed course readers.</v>
      </c>
      <c r="C24" s="1" t="str" cm="1">
        <f t="array" ref="C24">IFERROR(INDEX(_im05[Department Stakeholder?], SMALL(IF(_im05[Success Indicator]&lt;&gt; "Removed", ROW(_im05[Department Stakeholder?])-ROW(INDEX(_im05[Department Stakeholder?],1,1))+1), ROW(2:2))), "") &amp; ""</f>
        <v>Senior Director of Teaching and Learning Programs and Services</v>
      </c>
      <c r="D24" t="str" cm="1">
        <f t="array" ref="D24">IFERROR(INDEX(_im05[2021 Status], SMALL(IF(_im05[Success Indicator]&lt;&gt; "Removed", ROW(_im05[2021 Status])-ROW(INDEX(_im05[2021 Status],1,1))+1), ROW(2:2))), "") &amp; ""</f>
        <v>Not Started</v>
      </c>
      <c r="E24" s="161" t="str" cm="1">
        <f t="array" ref="E24">IFERROR(INDEX(_im05[2021 Evidence], SMALL(IF(_im05[Success Indicator]&lt;&gt; "Removed", ROW(_im05[2021 Evidence])-ROW(INDEX(_im05[2021 Evidence],1,1))+1), ROW(2:2))), "") &amp; ""</f>
        <v/>
      </c>
      <c r="F24" s="1" t="s">
        <v>147</v>
      </c>
      <c r="G24" t="s">
        <v>15</v>
      </c>
      <c r="I24" t="s">
        <v>145</v>
      </c>
      <c r="J24" s="190">
        <f>IF(ISBLANK(_im05_gap[[#This Row],[2023 Status]]), "2023 Status Empty",
IF(_im05_gap[[#This Row],[2023 Status]] = "Not Started", -5,
IFERROR(
    IF(VLOOKUP(_im05_gap[[#This Row],[2021 Status]], _statuses[Status Level]:_statuses[Status Value], 7, FALSE) &gt; VLOOKUP(_im05_gap[[#This Row],[2023 Status]], _statuses[Status Level]:_statuses[Status Value], 7, FALSE),
    -ABS(VLOOKUP(_im05_gap[[#This Row],[2021 Status]], _statuses[Status Level]:_statuses[Status Value], 7, FALSE) - VLOOKUP(_im05_gap[[#This Row],[2023 Status]], _statuses[Status Level]:_statuses[Status Value], 7, FALSE)),
    ABS(VLOOKUP(_im05_gap[[#This Row],[2021 Status]], _statuses[Status Level]:_statuses[Status Value], 7, FALSE) - VLOOKUP(_im05_gap[[#This Row],[2023 Status]], _statuses[Status Level]:_statuses[Status Value], 7, FALSE))),
"Error in Calculation")
))</f>
        <v>-5</v>
      </c>
      <c r="K24" s="236"/>
      <c r="L24" s="236"/>
      <c r="M24" s="236"/>
      <c r="N24" s="236"/>
      <c r="O24" s="236"/>
      <c r="P24" s="236"/>
      <c r="Q24" s="236"/>
    </row>
    <row r="25" spans="1:17" ht="58" x14ac:dyDescent="0.35">
      <c r="A25" t="str" cm="1">
        <f t="array" ref="A25">IFERROR(INDEX(_im05[Goal '#], SMALL(IF(_im05[Success Indicator]&lt;&gt; "Removed", ROW(_im05[Goal '#])-ROW(INDEX(_im05[Goal '#],1,1))+1), ROW(3:3))), "") &amp; ""</f>
        <v>5.13</v>
      </c>
      <c r="B25" s="1" t="str" cm="1">
        <f t="array" ref="B25">IFERROR(INDEX(_im05[Success Indicator], SMALL(IF(_im05[Success Indicator]&lt;&gt; "Removed", ROW(_im05[Success Indicator])-ROW(INDEX(_im05[Success Indicator],1,1))+1), ROW(3:3))), "") &amp; ""</f>
        <v>(NEW) Developed a process for creating, selecting, adopting, and remediating digital content: documents (word processor produced, spreadsheets, presentation software, PDF).</v>
      </c>
      <c r="C25" s="1" t="str" cm="1">
        <f t="array" ref="C25">IFERROR(INDEX(_im05[Department Stakeholder?], SMALL(IF(_im05[Success Indicator]&lt;&gt; "Removed", ROW(_im05[Department Stakeholder?])-ROW(INDEX(_im05[Department Stakeholder?],1,1))+1), ROW(3:3))), "") &amp; ""</f>
        <v>Senior Director of Teaching and Learning Programs and Services</v>
      </c>
      <c r="D25" t="str" cm="1">
        <f t="array" ref="D25">IFERROR(INDEX(_im05[2021 Status], SMALL(IF(_im05[Success Indicator]&lt;&gt; "Removed", ROW(_im05[2021 Status])-ROW(INDEX(_im05[2021 Status],1,1))+1), ROW(3:3))), "") &amp; ""</f>
        <v>Not Started</v>
      </c>
      <c r="E25" s="1" t="str" cm="1">
        <f t="array" ref="E25">IFERROR(INDEX(_im05[2021 Evidence], SMALL(IF(_im05[Success Indicator]&lt;&gt; "Removed", ROW(_im05[2021 Evidence])-ROW(INDEX(_im05[2021 Evidence],1,1))+1), ROW(3:3))), "") &amp; ""</f>
        <v/>
      </c>
      <c r="F25" s="1" t="s">
        <v>144</v>
      </c>
      <c r="G25" t="s">
        <v>15</v>
      </c>
      <c r="I25" t="s">
        <v>145</v>
      </c>
      <c r="J25" s="190">
        <f>IF(ISBLANK(_im05_gap[[#This Row],[2023 Status]]), "2023 Status Empty",
IF(_im05_gap[[#This Row],[2023 Status]] = "Not Started", -5,
IFERROR(
    IF(VLOOKUP(_im05_gap[[#This Row],[2021 Status]], _statuses[Status Level]:_statuses[Status Value], 7, FALSE) &gt; VLOOKUP(_im05_gap[[#This Row],[2023 Status]], _statuses[Status Level]:_statuses[Status Value], 7, FALSE),
    -ABS(VLOOKUP(_im05_gap[[#This Row],[2021 Status]], _statuses[Status Level]:_statuses[Status Value], 7, FALSE) - VLOOKUP(_im05_gap[[#This Row],[2023 Status]], _statuses[Status Level]:_statuses[Status Value], 7, FALSE)),
    ABS(VLOOKUP(_im05_gap[[#This Row],[2021 Status]], _statuses[Status Level]:_statuses[Status Value], 7, FALSE) - VLOOKUP(_im05_gap[[#This Row],[2023 Status]], _statuses[Status Level]:_statuses[Status Value], 7, FALSE))),
"Error in Calculation")
))</f>
        <v>-5</v>
      </c>
      <c r="K25" s="236"/>
      <c r="L25" s="236"/>
      <c r="M25" s="236"/>
      <c r="N25" s="236"/>
      <c r="O25" s="236"/>
      <c r="P25" s="236"/>
      <c r="Q25" s="236"/>
    </row>
    <row r="26" spans="1:17" ht="58" customHeight="1" x14ac:dyDescent="0.35">
      <c r="A26" t="str" cm="1">
        <f t="array" ref="A26">IFERROR(INDEX(_im05[Goal '#], SMALL(IF(_im05[Success Indicator]&lt;&gt; "Removed", ROW(_im05[Goal '#])-ROW(INDEX(_im05[Goal '#],1,1))+1), ROW(4:4))), "") &amp; ""</f>
        <v>5.14</v>
      </c>
      <c r="B26" s="1" t="str" cm="1">
        <f t="array" ref="B26">IFERROR(INDEX(_im05[Success Indicator], SMALL(IF(_im05[Success Indicator]&lt;&gt; "Removed", ROW(_im05[Success Indicator])-ROW(INDEX(_im05[Success Indicator],1,1))+1), ROW(4:4))), "") &amp; ""</f>
        <v>(NEW) Developed a process for creating, adopting, implementing, and remediating emerging instructional technologies.</v>
      </c>
      <c r="C26" s="1" t="str" cm="1">
        <f t="array" ref="C26">IFERROR(INDEX(_im05[Department Stakeholder?], SMALL(IF(_im05[Success Indicator]&lt;&gt; "Removed", ROW(_im05[Department Stakeholder?])-ROW(INDEX(_im05[Department Stakeholder?],1,1))+1), ROW(4:4))), "") &amp; ""</f>
        <v>Senior Director of Teaching and Learning Programs and Services</v>
      </c>
      <c r="D26" t="str" cm="1">
        <f t="array" ref="D26">IFERROR(INDEX(_im05[2021 Status], SMALL(IF(_im05[Success Indicator]&lt;&gt; "Removed", ROW(_im05[2021 Status])-ROW(INDEX(_im05[2021 Status],1,1))+1), ROW(4:4))), "") &amp; ""</f>
        <v>Not Started</v>
      </c>
      <c r="E26" s="1" t="str" cm="1">
        <f t="array" ref="E26">IFERROR(INDEX(_im05[2021 Evidence], SMALL(IF(_im05[Success Indicator]&lt;&gt; "Removed", ROW(_im05[2021 Evidence])-ROW(INDEX(_im05[2021 Evidence],1,1))+1), ROW(4:4))), "") &amp; ""</f>
        <v/>
      </c>
      <c r="F26" s="1" t="s">
        <v>144</v>
      </c>
      <c r="G26" t="s">
        <v>15</v>
      </c>
      <c r="I26" t="s">
        <v>145</v>
      </c>
      <c r="J26" s="190">
        <f>IF(ISBLANK(_im05_gap[[#This Row],[2023 Status]]), "2023 Status Empty",
IF(_im05_gap[[#This Row],[2023 Status]] = "Not Started", -5,
IFERROR(
    IF(VLOOKUP(_im05_gap[[#This Row],[2021 Status]], _statuses[Status Level]:_statuses[Status Value], 7, FALSE) &gt; VLOOKUP(_im05_gap[[#This Row],[2023 Status]], _statuses[Status Level]:_statuses[Status Value], 7, FALSE),
    -ABS(VLOOKUP(_im05_gap[[#This Row],[2021 Status]], _statuses[Status Level]:_statuses[Status Value], 7, FALSE) - VLOOKUP(_im05_gap[[#This Row],[2023 Status]], _statuses[Status Level]:_statuses[Status Value], 7, FALSE)),
    ABS(VLOOKUP(_im05_gap[[#This Row],[2021 Status]], _statuses[Status Level]:_statuses[Status Value], 7, FALSE) - VLOOKUP(_im05_gap[[#This Row],[2023 Status]], _statuses[Status Level]:_statuses[Status Value], 7, FALSE))),
"Error in Calculation")
))</f>
        <v>-5</v>
      </c>
      <c r="K26" s="236"/>
      <c r="L26" s="236"/>
      <c r="M26" s="236"/>
      <c r="N26" s="236"/>
      <c r="O26" s="236"/>
      <c r="P26" s="236"/>
      <c r="Q26" s="236"/>
    </row>
    <row r="27" spans="1:17" ht="43.5" x14ac:dyDescent="0.35">
      <c r="A27" t="str" cm="1">
        <f t="array" ref="A27">IFERROR(INDEX(_im05[Goal '#], SMALL(IF(_im05[Success Indicator]&lt;&gt; "Removed", ROW(_im05[Goal '#])-ROW(INDEX(_im05[Goal '#],1,1))+1), ROW(5:5))), "") &amp; ""</f>
        <v>5.15</v>
      </c>
      <c r="B27" s="1" t="str" cm="1">
        <f t="array" ref="B27">IFERROR(INDEX(_im05[Success Indicator], SMALL(IF(_im05[Success Indicator]&lt;&gt; "Removed", ROW(_im05[Success Indicator])-ROW(INDEX(_im05[Success Indicator],1,1))+1), ROW(5:5))), "") &amp; ""</f>
        <v>(NEW) Developed a process for creating, selecting, adopting, and remediating publisher created content.</v>
      </c>
      <c r="C27" s="1" t="str" cm="1">
        <f t="array" ref="C27">IFERROR(INDEX(_im05[Department Stakeholder?], SMALL(IF(_im05[Success Indicator]&lt;&gt; "Removed", ROW(_im05[Department Stakeholder?])-ROW(INDEX(_im05[Department Stakeholder?],1,1))+1), ROW(5:5))), "") &amp; ""</f>
        <v>Senior Director of Teaching and Learning Programs and Services</v>
      </c>
      <c r="D27" t="str" cm="1">
        <f t="array" ref="D27">IFERROR(INDEX(_im05[2021 Status], SMALL(IF(_im05[Success Indicator]&lt;&gt; "Removed", ROW(_im05[2021 Status])-ROW(INDEX(_im05[2021 Status],1,1))+1), ROW(5:5))), "") &amp; ""</f>
        <v>Not Started</v>
      </c>
      <c r="E27" s="1" t="str" cm="1">
        <f t="array" ref="E27">IFERROR(INDEX(_im05[2021 Evidence], SMALL(IF(_im05[Success Indicator]&lt;&gt; "Removed", ROW(_im05[2021 Evidence])-ROW(INDEX(_im05[2021 Evidence],1,1))+1), ROW(5:5))), "") &amp; ""</f>
        <v/>
      </c>
      <c r="F27" s="1" t="s">
        <v>144</v>
      </c>
      <c r="G27" t="s">
        <v>15</v>
      </c>
      <c r="I27" t="s">
        <v>145</v>
      </c>
      <c r="J27" s="190">
        <f>IF(ISBLANK(_im05_gap[[#This Row],[2023 Status]]), "2023 Status Empty",
IF(_im05_gap[[#This Row],[2023 Status]] = "Not Started", -5,
IFERROR(
    IF(VLOOKUP(_im05_gap[[#This Row],[2021 Status]], _statuses[Status Level]:_statuses[Status Value], 7, FALSE) &gt; VLOOKUP(_im05_gap[[#This Row],[2023 Status]], _statuses[Status Level]:_statuses[Status Value], 7, FALSE),
    -ABS(VLOOKUP(_im05_gap[[#This Row],[2021 Status]], _statuses[Status Level]:_statuses[Status Value], 7, FALSE) - VLOOKUP(_im05_gap[[#This Row],[2023 Status]], _statuses[Status Level]:_statuses[Status Value], 7, FALSE)),
    ABS(VLOOKUP(_im05_gap[[#This Row],[2021 Status]], _statuses[Status Level]:_statuses[Status Value], 7, FALSE) - VLOOKUP(_im05_gap[[#This Row],[2023 Status]], _statuses[Status Level]:_statuses[Status Value], 7, FALSE))),
"Error in Calculation")
))</f>
        <v>-5</v>
      </c>
      <c r="K27" s="236"/>
      <c r="L27" s="236"/>
      <c r="M27" s="236"/>
      <c r="N27" s="236"/>
      <c r="O27" s="236"/>
      <c r="P27" s="236"/>
      <c r="Q27" s="236"/>
    </row>
    <row r="28" spans="1:17" ht="44" thickBot="1" x14ac:dyDescent="0.4">
      <c r="A28" t="str" cm="1">
        <f t="array" ref="A28">IFERROR(INDEX(_im05[Goal '#], SMALL(IF(_im05[Success Indicator]&lt;&gt; "Removed", ROW(_im05[Goal '#])-ROW(INDEX(_im05[Goal '#],1,1))+1), ROW(6:6))), "") &amp; ""</f>
        <v>5.16</v>
      </c>
      <c r="B28" s="1" t="str" cm="1">
        <f t="array" ref="B28">IFERROR(INDEX(_im05[Success Indicator], SMALL(IF(_im05[Success Indicator]&lt;&gt; "Removed", ROW(_im05[Success Indicator])-ROW(INDEX(_im05[Success Indicator],1,1))+1), ROW(6:6))), "") &amp; ""</f>
        <v>(NEW) Developed a process for creating, selecting, adopting, and remediating learning and engagement tools.</v>
      </c>
      <c r="C28" s="1" t="str" cm="1">
        <f t="array" ref="C28">IFERROR(INDEX(_im05[Department Stakeholder?], SMALL(IF(_im05[Success Indicator]&lt;&gt; "Removed", ROW(_im05[Department Stakeholder?])-ROW(INDEX(_im05[Department Stakeholder?],1,1))+1), ROW(6:6))), "") &amp; ""</f>
        <v>Senior Director of Teaching and Learning Programs and Services</v>
      </c>
      <c r="D28" t="str" cm="1">
        <f t="array" ref="D28">IFERROR(INDEX(_im05[2021 Status], SMALL(IF(_im05[Success Indicator]&lt;&gt; "Removed", ROW(_im05[2021 Status])-ROW(INDEX(_im05[2021 Status],1,1))+1), ROW(6:6))), "") &amp; ""</f>
        <v>Not Started</v>
      </c>
      <c r="E28" s="1" t="str" cm="1">
        <f t="array" ref="E28">IFERROR(INDEX(_im05[2021 Evidence], SMALL(IF(_im05[Success Indicator]&lt;&gt; "Removed", ROW(_im05[2021 Evidence])-ROW(INDEX(_im05[2021 Evidence],1,1))+1), ROW(6:6))), "") &amp; ""</f>
        <v/>
      </c>
      <c r="F28" s="1" t="s">
        <v>144</v>
      </c>
      <c r="G28" t="s">
        <v>15</v>
      </c>
      <c r="I28" t="s">
        <v>145</v>
      </c>
      <c r="J28" s="189">
        <f>IF(ISBLANK(_im05_gap[[#This Row],[2023 Status]]), "2023 Status Empty",
IF(_im05_gap[[#This Row],[2023 Status]] = "Not Started", -5,
IFERROR(
    IF(VLOOKUP(_im05_gap[[#This Row],[2021 Status]], _statuses[Status Level]:_statuses[Status Value], 7, FALSE) &gt; VLOOKUP(_im05_gap[[#This Row],[2023 Status]], _statuses[Status Level]:_statuses[Status Value], 7, FALSE),
    -ABS(VLOOKUP(_im05_gap[[#This Row],[2021 Status]], _statuses[Status Level]:_statuses[Status Value], 7, FALSE) - VLOOKUP(_im05_gap[[#This Row],[2023 Status]], _statuses[Status Level]:_statuses[Status Value], 7, FALSE)),
    ABS(VLOOKUP(_im05_gap[[#This Row],[2021 Status]], _statuses[Status Level]:_statuses[Status Value], 7, FALSE) - VLOOKUP(_im05_gap[[#This Row],[2023 Status]], _statuses[Status Level]:_statuses[Status Value], 7, FALSE))),
"Error in Calculation")
))</f>
        <v>-5</v>
      </c>
      <c r="K28" s="236"/>
      <c r="L28" s="236"/>
      <c r="M28" s="236"/>
      <c r="N28" s="236"/>
      <c r="O28" s="236"/>
      <c r="P28" s="236"/>
      <c r="Q28" s="236"/>
    </row>
    <row r="29" spans="1:17" x14ac:dyDescent="0.35">
      <c r="A29" s="236"/>
      <c r="B29" s="197"/>
      <c r="C29" s="197"/>
      <c r="D29" s="236"/>
      <c r="E29" s="197"/>
      <c r="F29" s="197"/>
      <c r="G29" s="236"/>
      <c r="H29" s="236"/>
      <c r="I29" s="236"/>
      <c r="J29" s="236"/>
      <c r="K29" s="236"/>
      <c r="L29" s="236"/>
      <c r="M29" s="236"/>
      <c r="N29" s="236"/>
      <c r="O29" s="236"/>
      <c r="P29" s="236"/>
      <c r="Q29" s="236"/>
    </row>
    <row r="30" spans="1:17" x14ac:dyDescent="0.35">
      <c r="A30" s="236"/>
      <c r="B30" s="236"/>
      <c r="C30" s="236"/>
      <c r="D30" s="236"/>
      <c r="E30" s="236"/>
      <c r="F30" s="236"/>
      <c r="G30" s="236"/>
      <c r="H30" s="236"/>
      <c r="I30" s="236"/>
      <c r="J30" s="236"/>
      <c r="K30" s="236"/>
      <c r="L30" s="236"/>
      <c r="M30" s="236"/>
      <c r="N30" s="236"/>
      <c r="O30" s="236"/>
      <c r="P30" s="236"/>
      <c r="Q30" s="236"/>
    </row>
    <row r="31" spans="1:17" x14ac:dyDescent="0.35">
      <c r="A31" s="236" t="str" cm="1">
        <f t="array" ref="A31">IFERROR(INDEX(_im04[Goal '#], SMALL(IF(_im04[Success Indicator]&lt;&gt; "Removed", ROW(_im04[Goal '#])-ROW(INDEX(_im04[Goal '#],1,1))+1), ROW(#REF!))), "")</f>
        <v/>
      </c>
      <c r="B31" s="236" t="str" cm="1">
        <f t="array" ref="B31">IFERROR(INDEX(_im04[2021 Evidence], SMALL(IF(_im04[Success Indicator]&lt;&gt; "Removed", ROW(_im04[2021 Evidence])-ROW(INDEX(_im04[2021 Evidence],1,1))+1), ROW(#REF!))), "") &amp; ""</f>
        <v/>
      </c>
      <c r="C31" s="236"/>
      <c r="D31" s="236"/>
      <c r="E31" s="236"/>
      <c r="F31" s="236"/>
      <c r="G31" s="236"/>
      <c r="H31" s="236"/>
      <c r="I31" s="236"/>
      <c r="J31" s="236"/>
      <c r="K31" s="236"/>
      <c r="L31" s="236"/>
      <c r="M31" s="236"/>
      <c r="N31" s="236"/>
      <c r="O31" s="236"/>
      <c r="P31" s="236"/>
      <c r="Q31" s="236"/>
    </row>
    <row r="32" spans="1:17" x14ac:dyDescent="0.35">
      <c r="A32" t="s">
        <v>3</v>
      </c>
      <c r="B32" s="1" t="s">
        <v>4</v>
      </c>
      <c r="C32" t="s">
        <v>5</v>
      </c>
      <c r="D32" t="s">
        <v>238</v>
      </c>
      <c r="E32" t="s">
        <v>6</v>
      </c>
      <c r="F32" t="s">
        <v>7</v>
      </c>
      <c r="G32" t="s">
        <v>8</v>
      </c>
      <c r="H32" t="s">
        <v>10</v>
      </c>
      <c r="I32" t="s">
        <v>11</v>
      </c>
      <c r="J32" t="s">
        <v>590</v>
      </c>
      <c r="K32" s="236"/>
      <c r="L32" s="236"/>
      <c r="M32" s="236"/>
      <c r="N32" s="236"/>
      <c r="O32" s="236"/>
      <c r="P32" s="236"/>
      <c r="Q32" s="236"/>
    </row>
    <row r="33" spans="1:17" ht="107.15" hidden="1" customHeight="1" x14ac:dyDescent="0.35">
      <c r="A33" t="str" cm="1">
        <f t="array" ref="A33">IFERROR(INDEX(_im06[Goal '#], SMALL(IF(_im06[Success Indicator]&lt;&gt; "Removed", ROW(_im06[Goal '#])-ROW(INDEX(_im06[Goal '#],1,1))+1), ROW(1:1))), "") &amp; ""</f>
        <v>6.2</v>
      </c>
      <c r="B33" s="1" t="str" cm="1">
        <f t="array" ref="B33">IFERROR(INDEX(_im06[Success Indicator], SMALL(IF(_im06[Success Indicator]&lt;&gt; "Removed", ROW(_im06[Success Indicator])-ROW(INDEX(_im06[Success Indicator],1,1))+1), ROW(1:1))), "") &amp; ""</f>
        <v>Developed a process for selecting, authoring, and procuring accessible course materials.</v>
      </c>
      <c r="C33" s="1" t="str" cm="1">
        <f t="array" ref="C33">IFERROR(INDEX(_im06[Department Stakeholder?], SMALL(IF(_im06[Success Indicator]&lt;&gt; "Removed", ROW(_im06[Department Stakeholder?])-ROW(INDEX(_im06[Department Stakeholder?],1,1))+1), ROW(1:1))), "") &amp; ""</f>
        <v>Senior Accessible Technology Services Coordinator</v>
      </c>
      <c r="D33" t="str" cm="1">
        <f t="array" ref="D33">IFERROR(INDEX(_im06[2021 Status], SMALL(IF(_im06[Success Indicator]&lt;&gt; "Removed", ROW(_im06[2021 Status])-ROW(INDEX(_im06[2021 Status],1,1))+1), ROW(1:1))), "") &amp; ""</f>
        <v>Defined</v>
      </c>
      <c r="E33" s="1" t="str" cm="1">
        <f t="array" ref="E33">IFERROR(INDEX(_im06[2021 Evidence], SMALL(IF(_im06[Success Indicator]&lt;&gt; "Removed", ROW(_im06[2021 Evidence])-ROW(INDEX(_im06[2021 Evidence],1,1))+1), ROW(1:1))), "") &amp; ""</f>
        <v xml:space="preserve">ATS Program Manager http://access.sfsu.edu/ati/content/sf-state-course-accessibility-checklist https://access.sfsu.edu/ati/instruction/publisher-content </v>
      </c>
      <c r="F33" s="1"/>
      <c r="G33" t="s">
        <v>38</v>
      </c>
      <c r="J33" s="188">
        <f>IF(ISBLANK(_im06_gap[[#This Row],[2023 Status]]), "2023 Status Empty",
IF(_im06_gap[[#This Row],[2023 Status]] = "Not Started", -5,
IFERROR(
    IF(VLOOKUP(_im06_gap[[#This Row],[2021 Status]], _statuses[Status Level]:_statuses[Status Value], 7, FALSE) &gt; VLOOKUP(_im06_gap[[#This Row],[2023 Status]], _statuses[Status Level]:_statuses[Status Value], 7, FALSE),
    -ABS(VLOOKUP(_im06_gap[[#This Row],[2021 Status]], _statuses[Status Level]:_statuses[Status Value], 7, FALSE) - VLOOKUP(_im06_gap[[#This Row],[2023 Status]], _statuses[Status Level]:_statuses[Status Value], 7, FALSE)),
    ABS(VLOOKUP(_im06_gap[[#This Row],[2021 Status]], _statuses[Status Level]:_statuses[Status Value], 7, FALSE) - VLOOKUP(_im06_gap[[#This Row],[2023 Status]], _statuses[Status Level]:_statuses[Status Value], 7, FALSE))),
"Error in Calculation")
))</f>
        <v>0</v>
      </c>
      <c r="K33" s="236"/>
      <c r="L33" s="236"/>
      <c r="M33" s="236"/>
      <c r="N33" s="236"/>
      <c r="O33" s="236"/>
      <c r="P33" s="236"/>
      <c r="Q33" s="236"/>
    </row>
    <row r="34" spans="1:17" ht="87" x14ac:dyDescent="0.35">
      <c r="A34" t="str" cm="1">
        <f t="array" ref="A34">IFERROR(INDEX(_im06[Goal '#], SMALL(IF(_im06[Success Indicator]&lt;&gt; "Removed", ROW(_im06[Goal '#])-ROW(INDEX(_im06[Goal '#],1,1))+1), ROW(2:2))), "") &amp; ""</f>
        <v>6.4</v>
      </c>
      <c r="B34" s="1" t="str" cm="1">
        <f t="array" ref="B34">IFERROR(INDEX(_im06[Success Indicator], SMALL(IF(_im06[Success Indicator]&lt;&gt; "Removed", ROW(_im06[Success Indicator])-ROW(INDEX(_im06[Success Indicator],1,1))+1), ROW(2:2))), "") &amp; ""</f>
        <v xml:space="preserve">Developed a process to facilitate the review and remediation of the accessibility of online courses before posting. </v>
      </c>
      <c r="C34" s="1" t="str" cm="1">
        <f t="array" ref="C34">IFERROR(INDEX(_im06[Department Stakeholder?], SMALL(IF(_im06[Success Indicator]&lt;&gt; "Removed", ROW(_im06[Department Stakeholder?])-ROW(INDEX(_im06[Department Stakeholder?],1,1))+1), ROW(2:2))), "") &amp; ""</f>
        <v>Senior Director of Teaching and Learning Programs and Services</v>
      </c>
      <c r="D34" t="str" cm="1">
        <f t="array" ref="D34">IFERROR(INDEX(_im06[2021 Status], SMALL(IF(_im06[Success Indicator]&lt;&gt; "Removed", ROW(_im06[2021 Status])-ROW(INDEX(_im06[2021 Status],1,1))+1), ROW(2:2))), "") &amp; ""</f>
        <v>Defined</v>
      </c>
      <c r="E34" s="161" t="str" cm="1">
        <f t="array" ref="E34">IFERROR(INDEX(_im06[2021 Evidence], SMALL(IF(_im06[Success Indicator]&lt;&gt; "Removed", ROW(_im06[2021 Evidence])-ROW(INDEX(_im06[2021 Evidence],1,1))+1), ROW(2:2))), "") &amp; ""</f>
        <v xml:space="preserve">Instructional Designers	Faculty may run their course through Quality Learning and Teaching (QLT) certification offered by Academic Technology. One of the sections includes accessibility and DPRC consults with AT frequently accessibly checks in QLT. Process at http://qlt.sfsu.edu/ </v>
      </c>
      <c r="F34" s="1" t="s">
        <v>154</v>
      </c>
      <c r="G34" t="s">
        <v>15</v>
      </c>
      <c r="J34" s="190">
        <f>IF(ISBLANK(_im06_gap[[#This Row],[2023 Status]]), "2023 Status Empty",
IF(_im06_gap[[#This Row],[2023 Status]] = "Not Started", -5,
IFERROR(
    IF(VLOOKUP(_im06_gap[[#This Row],[2021 Status]], _statuses[Status Level]:_statuses[Status Value], 7, FALSE) &gt; VLOOKUP(_im06_gap[[#This Row],[2023 Status]], _statuses[Status Level]:_statuses[Status Value], 7, FALSE),
    -ABS(VLOOKUP(_im06_gap[[#This Row],[2021 Status]], _statuses[Status Level]:_statuses[Status Value], 7, FALSE) - VLOOKUP(_im06_gap[[#This Row],[2023 Status]], _statuses[Status Level]:_statuses[Status Value], 7, FALSE)),
    ABS(VLOOKUP(_im06_gap[[#This Row],[2021 Status]], _statuses[Status Level]:_statuses[Status Value], 7, FALSE) - VLOOKUP(_im06_gap[[#This Row],[2023 Status]], _statuses[Status Level]:_statuses[Status Value], 7, FALSE))),
"Error in Calculation")
))</f>
        <v>-5</v>
      </c>
      <c r="K34" s="236"/>
      <c r="L34" s="236"/>
      <c r="M34" s="236"/>
      <c r="N34" s="236"/>
      <c r="O34" s="236"/>
      <c r="P34" s="236"/>
      <c r="Q34" s="236"/>
    </row>
    <row r="35" spans="1:17" ht="58" x14ac:dyDescent="0.35">
      <c r="A35" t="str" cm="1">
        <f t="array" ref="A35">IFERROR(INDEX(_im06[Goal '#], SMALL(IF(_im06[Success Indicator]&lt;&gt; "Removed", ROW(_im06[Goal '#])-ROW(INDEX(_im06[Goal '#],1,1))+1), ROW(3:3))), "") &amp; ""</f>
        <v>6.5</v>
      </c>
      <c r="B35" s="1" t="str" cm="1">
        <f t="array" ref="B35">IFERROR(INDEX(_im06[Success Indicator], SMALL(IF(_im06[Success Indicator]&lt;&gt; "Removed", ROW(_im06[Success Indicator])-ROW(INDEX(_im06[Success Indicator],1,1))+1), ROW(3:3))), "") &amp; ""</f>
        <v xml:space="preserve">	Developed a process for faculty and instructional staff to incorporate accessibility at the time of course redesign.  </v>
      </c>
      <c r="C35" s="1" t="str" cm="1">
        <f t="array" ref="C35">IFERROR(INDEX(_im06[Department Stakeholder?], SMALL(IF(_im06[Success Indicator]&lt;&gt; "Removed", ROW(_im06[Department Stakeholder?])-ROW(INDEX(_im06[Department Stakeholder?],1,1))+1), ROW(3:3))), "") &amp; ""</f>
        <v>Senior Director of Teaching and Learning Programs and Services</v>
      </c>
      <c r="D35" t="str" cm="1">
        <f t="array" ref="D35">IFERROR(INDEX(_im06[2021 Status], SMALL(IF(_im06[Success Indicator]&lt;&gt; "Removed", ROW(_im06[2021 Status])-ROW(INDEX(_im06[2021 Status],1,1))+1), ROW(3:3))), "") &amp; ""</f>
        <v>Established</v>
      </c>
      <c r="E35" s="1" t="str" cm="1">
        <f t="array" ref="E35">IFERROR(INDEX(_im06[2021 Evidence], SMALL(IF(_im06[Success Indicator]&lt;&gt; "Removed", ROW(_im06[2021 Evidence])-ROW(INDEX(_im06[2021 Evidence],1,1))+1), ROW(3:3))), "") &amp; ""</f>
        <v xml:space="preserve">ATS Program Manager All faculty are directed to the course accessibility checklist when submitting a course redesign proposal at https://nextbulletin.sfsu.edu/courseadmin/ </v>
      </c>
      <c r="F35" s="1" t="s">
        <v>157</v>
      </c>
      <c r="G35" t="s">
        <v>15</v>
      </c>
      <c r="J35" s="190">
        <f>IF(ISBLANK(_im06_gap[[#This Row],[2023 Status]]), "2023 Status Empty",
IF(_im06_gap[[#This Row],[2023 Status]] = "Not Started", -5,
IFERROR(
    IF(VLOOKUP(_im06_gap[[#This Row],[2021 Status]], _statuses[Status Level]:_statuses[Status Value], 7, FALSE) &gt; VLOOKUP(_im06_gap[[#This Row],[2023 Status]], _statuses[Status Level]:_statuses[Status Value], 7, FALSE),
    -ABS(VLOOKUP(_im06_gap[[#This Row],[2021 Status]], _statuses[Status Level]:_statuses[Status Value], 7, FALSE) - VLOOKUP(_im06_gap[[#This Row],[2023 Status]], _statuses[Status Level]:_statuses[Status Value], 7, FALSE)),
    ABS(VLOOKUP(_im06_gap[[#This Row],[2021 Status]], _statuses[Status Level]:_statuses[Status Value], 7, FALSE) - VLOOKUP(_im06_gap[[#This Row],[2023 Status]], _statuses[Status Level]:_statuses[Status Value], 7, FALSE))),
"Error in Calculation")
))</f>
        <v>-5</v>
      </c>
      <c r="K35" s="236"/>
      <c r="L35" s="236"/>
      <c r="M35" s="236"/>
      <c r="N35" s="236"/>
      <c r="O35" s="236"/>
      <c r="P35" s="236"/>
      <c r="Q35" s="236"/>
    </row>
    <row r="36" spans="1:17" ht="58" hidden="1" customHeight="1" x14ac:dyDescent="0.35">
      <c r="A36" t="str" cm="1">
        <f t="array" ref="A36">IFERROR(INDEX(_im06[Goal '#], SMALL(IF(_im06[Success Indicator]&lt;&gt; "Removed", ROW(_im06[Goal '#])-ROW(INDEX(_im06[Goal '#],1,1))+1), ROW(4:4))), "") &amp; ""</f>
        <v>6.7</v>
      </c>
      <c r="B36" s="1" t="str" cm="1">
        <f t="array" ref="B36">IFERROR(INDEX(_im06[Success Indicator], SMALL(IF(_im06[Success Indicator]&lt;&gt; "Removed", ROW(_im06[Success Indicator])-ROW(INDEX(_im06[Success Indicator],1,1))+1), ROW(4:4))), "") &amp; ""</f>
        <v xml:space="preserve">Developed a process to conduct regularly scheduled accessibility evaluations using automated tools and manual techniques to identify course content that requires remediation. </v>
      </c>
      <c r="C36" s="1" t="str" cm="1">
        <f t="array" ref="C36">IFERROR(INDEX(_im06[Department Stakeholder?], SMALL(IF(_im06[Success Indicator]&lt;&gt; "Removed", ROW(_im06[Department Stakeholder?])-ROW(INDEX(_im06[Department Stakeholder?],1,1))+1), ROW(4:4))), "") &amp; ""</f>
        <v>Senior Accessible Technology Services Coordinator</v>
      </c>
      <c r="D36" t="str" cm="1">
        <f t="array" ref="D36">IFERROR(INDEX(_im06[2021 Status], SMALL(IF(_im06[Success Indicator]&lt;&gt; "Removed", ROW(_im06[2021 Status])-ROW(INDEX(_im06[2021 Status],1,1))+1), ROW(4:4))), "") &amp; ""</f>
        <v>Initiated</v>
      </c>
      <c r="E36" s="1" t="str" cm="1">
        <f t="array" ref="E36">IFERROR(INDEX(_im06[2021 Evidence], SMALL(IF(_im06[Success Indicator]&lt;&gt; "Removed", ROW(_im06[2021 Evidence])-ROW(INDEX(_im06[2021 Evidence],1,1))+1), ROW(4:4))), "") &amp; ""</f>
        <v xml:space="preserve">DPRC began an opt-in pilot to remediate all course materials for instructors. https://access.sfsu.edu/ati/instruction/pilot </v>
      </c>
      <c r="F36" s="1"/>
      <c r="G36" t="s">
        <v>42</v>
      </c>
      <c r="I36" s="1" t="s">
        <v>121</v>
      </c>
      <c r="J36" s="190">
        <f>IF(ISBLANK(_im06_gap[[#This Row],[2023 Status]]), "2023 Status Empty",
IF(_im06_gap[[#This Row],[2023 Status]] = "Not Started", -5,
IFERROR(
    IF(VLOOKUP(_im06_gap[[#This Row],[2021 Status]], _statuses[Status Level]:_statuses[Status Value], 7, FALSE) &gt; VLOOKUP(_im06_gap[[#This Row],[2023 Status]], _statuses[Status Level]:_statuses[Status Value], 7, FALSE),
    -ABS(VLOOKUP(_im06_gap[[#This Row],[2021 Status]], _statuses[Status Level]:_statuses[Status Value], 7, FALSE) - VLOOKUP(_im06_gap[[#This Row],[2023 Status]], _statuses[Status Level]:_statuses[Status Value], 7, FALSE)),
    ABS(VLOOKUP(_im06_gap[[#This Row],[2021 Status]], _statuses[Status Level]:_statuses[Status Value], 7, FALSE) - VLOOKUP(_im06_gap[[#This Row],[2023 Status]], _statuses[Status Level]:_statuses[Status Value], 7, FALSE))),
"Error in Calculation")
))</f>
        <v>0</v>
      </c>
      <c r="K36" s="236"/>
      <c r="L36" s="236"/>
      <c r="M36" s="236"/>
      <c r="N36" s="236"/>
      <c r="O36" s="236"/>
      <c r="P36" s="236"/>
      <c r="Q36" s="236"/>
    </row>
    <row r="37" spans="1:17" ht="29" hidden="1" x14ac:dyDescent="0.35">
      <c r="A37" t="str" cm="1">
        <f t="array" ref="A37">IFERROR(INDEX(_im06[Goal '#], SMALL(IF(_im06[Success Indicator]&lt;&gt; "Removed", ROW(_im06[Goal '#])-ROW(INDEX(_im06[Goal '#],1,1))+1), ROW(5:5))), "") &amp; ""</f>
        <v>6.8</v>
      </c>
      <c r="B37" s="1" t="str" cm="1">
        <f t="array" ref="B37">IFERROR(INDEX(_im06[Success Indicator], SMALL(IF(_im06[Success Indicator]&lt;&gt; "Removed", ROW(_im06[Success Indicator])-ROW(INDEX(_im06[Success Indicator],1,1))+1), ROW(5:5))), "") &amp; ""</f>
        <v xml:space="preserve">(NEW) Developed a process to prioritize and remediate inaccessible course content. </v>
      </c>
      <c r="C37" s="1" t="str" cm="1">
        <f t="array" ref="C37">IFERROR(INDEX(_im06[Department Stakeholder?], SMALL(IF(_im06[Success Indicator]&lt;&gt; "Removed", ROW(_im06[Department Stakeholder?])-ROW(INDEX(_im06[Department Stakeholder?],1,1))+1), ROW(5:5))), "") &amp; ""</f>
        <v>Senior Accessible Technology Services Coordinator</v>
      </c>
      <c r="D37" t="str" cm="1">
        <f t="array" ref="D37">IFERROR(INDEX(_im06[2021 Status], SMALL(IF(_im06[Success Indicator]&lt;&gt; "Removed", ROW(_im06[2021 Status])-ROW(INDEX(_im06[2021 Status],1,1))+1), ROW(5:5))), "") &amp; ""</f>
        <v>Defined</v>
      </c>
      <c r="E37" s="1" t="str" cm="1">
        <f t="array" ref="E37">IFERROR(INDEX(_im06[2021 Evidence], SMALL(IF(_im06[Success Indicator]&lt;&gt; "Removed", ROW(_im06[2021 Evidence])-ROW(INDEX(_im06[2021 Evidence],1,1))+1), ROW(5:5))), "") &amp; ""</f>
        <v xml:space="preserve">Inaccessible course content is remediated upon request for students with disabilities.  </v>
      </c>
      <c r="F37" s="1"/>
      <c r="G37" t="s">
        <v>38</v>
      </c>
      <c r="J37" s="190">
        <f>IF(ISBLANK(_im06_gap[[#This Row],[2023 Status]]), "2023 Status Empty",
IF(_im06_gap[[#This Row],[2023 Status]] = "Not Started", -5,
IFERROR(
    IF(VLOOKUP(_im06_gap[[#This Row],[2021 Status]], _statuses[Status Level]:_statuses[Status Value], 7, FALSE) &gt; VLOOKUP(_im06_gap[[#This Row],[2023 Status]], _statuses[Status Level]:_statuses[Status Value], 7, FALSE),
    -ABS(VLOOKUP(_im06_gap[[#This Row],[2021 Status]], _statuses[Status Level]:_statuses[Status Value], 7, FALSE) - VLOOKUP(_im06_gap[[#This Row],[2023 Status]], _statuses[Status Level]:_statuses[Status Value], 7, FALSE)),
    ABS(VLOOKUP(_im06_gap[[#This Row],[2021 Status]], _statuses[Status Level]:_statuses[Status Value], 7, FALSE) - VLOOKUP(_im06_gap[[#This Row],[2023 Status]], _statuses[Status Level]:_statuses[Status Value], 7, FALSE))),
"Error in Calculation")
))</f>
        <v>0</v>
      </c>
      <c r="K37" s="236"/>
      <c r="L37" s="236"/>
      <c r="M37" s="236"/>
      <c r="N37" s="236"/>
      <c r="O37" s="236"/>
      <c r="P37" s="236"/>
      <c r="Q37" s="236"/>
    </row>
    <row r="38" spans="1:17" ht="87.5" hidden="1" thickBot="1" x14ac:dyDescent="0.4">
      <c r="A38" t="str" cm="1">
        <f t="array" ref="A38">IFERROR(INDEX(_im06[Goal '#], SMALL(IF(_im06[Success Indicator]&lt;&gt; "Removed", ROW(_im06[Goal '#])-ROW(INDEX(_im06[Goal '#],1,1))+1), ROW(6:6))), "") &amp; ""</f>
        <v>6.9</v>
      </c>
      <c r="B38" s="1" t="str" cm="1">
        <f t="array" ref="B38">IFERROR(INDEX(_im06[Success Indicator], SMALL(IF(_im06[Success Indicator]&lt;&gt; "Removed", ROW(_im06[Success Indicator])-ROW(INDEX(_im06[Success Indicator],1,1))+1), ROW(6:6))), "") &amp; ""</f>
        <v>(NEW) Develop Equally Effective Alternate Access Plans (EEAAPs) that address how the campus will ensure equal access for individuals with disabilities to LMS container and integrations (learning tools interoperability [LTI]) stored within the university approved LMS and other platforms.</v>
      </c>
      <c r="C38" s="1" t="str" cm="1">
        <f t="array" ref="C38">IFERROR(INDEX(_im06[Department Stakeholder?], SMALL(IF(_im06[Success Indicator]&lt;&gt; "Removed", ROW(_im06[Department Stakeholder?])-ROW(INDEX(_im06[Department Stakeholder?],1,1))+1), ROW(6:6))), "") &amp; ""</f>
        <v>AVP Academic Technology</v>
      </c>
      <c r="D38" t="str" cm="1">
        <f t="array" ref="D38">IFERROR(INDEX(_im06[2021 Status], SMALL(IF(_im06[Success Indicator]&lt;&gt; "Removed", ROW(_im06[2021 Status])-ROW(INDEX(_im06[2021 Status],1,1))+1), ROW(6:6))), "") &amp; ""</f>
        <v>Not Started</v>
      </c>
      <c r="E38" s="1" t="str" cm="1">
        <f t="array" ref="E38">IFERROR(INDEX(_im06[2021 Evidence], SMALL(IF(_im06[Success Indicator]&lt;&gt; "Removed", ROW(_im06[2021 Evidence])-ROW(INDEX(_im06[2021 Evidence],1,1))+1), ROW(6:6))), "") &amp; ""</f>
        <v/>
      </c>
      <c r="F38" s="1"/>
      <c r="G38" t="s">
        <v>15</v>
      </c>
      <c r="J38" s="189">
        <f>IF(ISBLANK(_im06_gap[[#This Row],[2023 Status]]), "2023 Status Empty",
IF(_im06_gap[[#This Row],[2023 Status]] = "Not Started", -5,
IFERROR(
    IF(VLOOKUP(_im06_gap[[#This Row],[2021 Status]], _statuses[Status Level]:_statuses[Status Value], 7, FALSE) &gt; VLOOKUP(_im06_gap[[#This Row],[2023 Status]], _statuses[Status Level]:_statuses[Status Value], 7, FALSE),
    -ABS(VLOOKUP(_im06_gap[[#This Row],[2021 Status]], _statuses[Status Level]:_statuses[Status Value], 7, FALSE) - VLOOKUP(_im06_gap[[#This Row],[2023 Status]], _statuses[Status Level]:_statuses[Status Value], 7, FALSE)),
    ABS(VLOOKUP(_im06_gap[[#This Row],[2021 Status]], _statuses[Status Level]:_statuses[Status Value], 7, FALSE) - VLOOKUP(_im06_gap[[#This Row],[2023 Status]], _statuses[Status Level]:_statuses[Status Value], 7, FALSE))),
"Error in Calculation")
))</f>
        <v>-5</v>
      </c>
      <c r="K38" s="236"/>
      <c r="L38" s="236"/>
      <c r="M38" s="236"/>
      <c r="N38" s="236"/>
      <c r="O38" s="236"/>
      <c r="P38" s="236"/>
      <c r="Q38" s="236"/>
    </row>
    <row r="39" spans="1:17" x14ac:dyDescent="0.35">
      <c r="A39" s="236"/>
      <c r="B39" s="197"/>
      <c r="C39" s="197"/>
      <c r="D39" s="236"/>
      <c r="E39" s="197"/>
      <c r="F39" s="197"/>
      <c r="G39" s="236"/>
      <c r="H39" s="236"/>
      <c r="I39" s="236"/>
      <c r="J39" s="236"/>
      <c r="K39" s="236"/>
      <c r="L39" s="236"/>
      <c r="M39" s="236"/>
      <c r="N39" s="236"/>
      <c r="O39" s="236"/>
      <c r="P39" s="236"/>
      <c r="Q39" s="236"/>
    </row>
    <row r="40" spans="1:17" x14ac:dyDescent="0.35">
      <c r="A40" s="236"/>
      <c r="B40" s="197"/>
      <c r="C40" s="236"/>
      <c r="D40" s="236"/>
      <c r="E40" s="236"/>
      <c r="F40" s="236"/>
      <c r="G40" s="236"/>
      <c r="H40" s="236"/>
      <c r="I40" s="236"/>
      <c r="J40" s="236"/>
      <c r="K40" s="236"/>
      <c r="L40" s="236"/>
      <c r="M40" s="236"/>
      <c r="N40" s="236"/>
      <c r="O40" s="236"/>
      <c r="P40" s="236"/>
      <c r="Q40" s="236"/>
    </row>
    <row r="41" spans="1:17" x14ac:dyDescent="0.35">
      <c r="A41" s="236"/>
      <c r="B41" s="197"/>
      <c r="C41" s="236"/>
      <c r="D41" s="236"/>
      <c r="E41" s="236"/>
      <c r="F41" s="236"/>
      <c r="G41" s="236"/>
      <c r="H41" s="236"/>
      <c r="I41" s="236"/>
      <c r="J41" s="236"/>
      <c r="K41" s="236"/>
      <c r="L41" s="236"/>
      <c r="M41" s="236"/>
      <c r="N41" s="236"/>
      <c r="O41" s="236"/>
      <c r="P41" s="236"/>
      <c r="Q41" s="236"/>
    </row>
    <row r="42" spans="1:17" ht="15" thickBot="1" x14ac:dyDescent="0.4">
      <c r="A42" t="s">
        <v>3</v>
      </c>
      <c r="B42" s="1" t="s">
        <v>4</v>
      </c>
      <c r="C42" t="s">
        <v>5</v>
      </c>
      <c r="D42" t="s">
        <v>238</v>
      </c>
      <c r="E42" t="s">
        <v>6</v>
      </c>
      <c r="F42" t="s">
        <v>7</v>
      </c>
      <c r="G42" t="s">
        <v>8</v>
      </c>
      <c r="H42" t="s">
        <v>10</v>
      </c>
      <c r="I42" t="s">
        <v>11</v>
      </c>
      <c r="J42" t="s">
        <v>590</v>
      </c>
      <c r="K42" s="236"/>
      <c r="L42" s="236"/>
      <c r="M42" s="236"/>
      <c r="N42" s="236"/>
      <c r="O42" s="236"/>
      <c r="P42" s="236"/>
      <c r="Q42" s="236"/>
    </row>
    <row r="43" spans="1:17" ht="107.15" customHeight="1" x14ac:dyDescent="0.35">
      <c r="A43" t="str" cm="1">
        <f t="array" ref="A43">IFERROR(INDEX(_im07[Goal '#], SMALL(IF(_im07[Success Indicator]&lt;&gt; "Removed", ROW(_im07[Goal '#])-ROW(INDEX(_im07[Goal '#],1,1))+1), ROW(1:1))), "") &amp; ""</f>
        <v>7.1</v>
      </c>
      <c r="B43" s="1" t="str" cm="1">
        <f t="array" ref="B43">IFERROR(INDEX(_im07[Success Indicator], SMALL(IF(_im07[Success Indicator]&lt;&gt; "Removed", ROW(_im07[Success Indicator])-ROW(INDEX(_im07[Success Indicator],1,1))+1), ROW(1:1))), "") &amp; ""</f>
        <v xml:space="preserve">Campus has formally documented (through Policy or Resolution) faculty responsibility for selecting and authoring accessible instructional materials. </v>
      </c>
      <c r="C43" s="1" t="str" cm="1">
        <f t="array" ref="C43">IFERROR(INDEX(_im07[Department Stakeholder?], SMALL(IF(_im07[Success Indicator]&lt;&gt; "Removed", ROW(_im07[Department Stakeholder?])-ROW(INDEX(_im07[Department Stakeholder?],1,1))+1), ROW(1:1))), "") &amp; ""</f>
        <v>Senior Director of Teaching and Learning Programs and Services</v>
      </c>
      <c r="D43" t="str" cm="1">
        <f t="array" ref="D43">IFERROR(INDEX(_im07[2021 Status], SMALL(IF(_im07[Success Indicator]&lt;&gt; "Removed", ROW(_im07[2021 Status])-ROW(INDEX(_im07[2021 Status],1,1))+1), ROW(1:1))), "") &amp; ""</f>
        <v>Defined</v>
      </c>
      <c r="E43" s="1" t="str" cm="1">
        <f t="array" ref="E43">IFERROR(INDEX(_im07[2021 Evidence], SMALL(IF(_im07[Success Indicator]&lt;&gt; "Removed", ROW(_im07[2021 Evidence])-ROW(INDEX(_im07[2021 Evidence],1,1))+1), ROW(1:1))), "") &amp; ""</f>
        <v>Assistant Vice President for Teaching and Learning Faculty are encouraged to select and author accessible instructional materials through various mechanisms (website, orientation, new course proposal, affordable instructional materials, etc.) but no formal policy, resolution or procedure in place.</v>
      </c>
      <c r="F43" s="1" t="s">
        <v>160</v>
      </c>
      <c r="G43" t="s">
        <v>38</v>
      </c>
      <c r="J43" s="188">
        <f>IF(ISBLANK(_im07_gap[[#This Row],[2023 Status]]), "2023 Status Empty",
IF(_im07_gap[[#This Row],[2023 Status]] = "Not Started", -5,
IFERROR(
    IF(VLOOKUP(_im07_gap[[#This Row],[2021 Status]], _statuses[Status Level]:_statuses[Status Value], 7, FALSE) &gt; VLOOKUP(_im07_gap[[#This Row],[2023 Status]], _statuses[Status Level]:_statuses[Status Value], 7, FALSE),
    -ABS(VLOOKUP(_im07_gap[[#This Row],[2021 Status]], _statuses[Status Level]:_statuses[Status Value], 7, FALSE) - VLOOKUP(_im07_gap[[#This Row],[2023 Status]], _statuses[Status Level]:_statuses[Status Value], 7, FALSE)),
    ABS(VLOOKUP(_im07_gap[[#This Row],[2021 Status]], _statuses[Status Level]:_statuses[Status Value], 7, FALSE) - VLOOKUP(_im07_gap[[#This Row],[2023 Status]], _statuses[Status Level]:_statuses[Status Value], 7, FALSE))),
"Error in Calculation")
))</f>
        <v>0</v>
      </c>
      <c r="K43" s="236"/>
      <c r="L43" s="236"/>
      <c r="M43" s="236"/>
      <c r="N43" s="236"/>
      <c r="O43" s="236"/>
      <c r="P43" s="236"/>
      <c r="Q43" s="236"/>
    </row>
    <row r="44" spans="1:17" ht="76" customHeight="1" x14ac:dyDescent="0.35">
      <c r="A44" t="str" cm="1">
        <f t="array" ref="A44">IFERROR(INDEX(_im07[Goal '#], SMALL(IF(_im07[Success Indicator]&lt;&gt; "Removed", ROW(_im07[Goal '#])-ROW(INDEX(_im07[Goal '#],1,1))+1), ROW(2:2))), "") &amp; ""</f>
        <v>7.3</v>
      </c>
      <c r="B44" s="1" t="str" cm="1">
        <f t="array" ref="B44">IFERROR(INDEX(_im07[Success Indicator], SMALL(IF(_im07[Success Indicator]&lt;&gt; "Removed", ROW(_im07[Success Indicator])-ROW(INDEX(_im07[Success Indicator],1,1))+1), ROW(2:2))), "") &amp; ""</f>
        <v xml:space="preserve">Developed a process to create, distribute, and update examples of accessible instructional materials.  </v>
      </c>
      <c r="C44" s="1" t="str" cm="1">
        <f t="array" ref="C44">IFERROR(INDEX(_im07[Department Stakeholder?], SMALL(IF(_im07[Success Indicator]&lt;&gt; "Removed", ROW(_im07[Department Stakeholder?])-ROW(INDEX(_im07[Department Stakeholder?],1,1))+1), ROW(2:2))), "") &amp; ""</f>
        <v>Senior Accessible Technology Services Coordinator</v>
      </c>
      <c r="D44" t="str" cm="1">
        <f t="array" ref="D44">IFERROR(INDEX(_im07[2021 Status], SMALL(IF(_im07[Success Indicator]&lt;&gt; "Removed", ROW(_im07[2021 Status])-ROW(INDEX(_im07[2021 Status],1,1))+1), ROW(2:2))), "") &amp; ""</f>
        <v>Defined</v>
      </c>
      <c r="E44" s="161" t="str" cm="1">
        <f t="array" ref="E44">IFERROR(INDEX(_im07[2021 Evidence], SMALL(IF(_im07[Success Indicator]&lt;&gt; "Removed", ROW(_im07[2021 Evidence])-ROW(INDEX(_im07[2021 Evidence],1,1))+1), ROW(2:2))), "") &amp; ""</f>
        <v>ATS Program Manager This is included in the course accessibility checklist http://access.sfsu.edu/ati/content/sf-state-course-accessibility-checklist. Accessible syllabus tool is also available to faculty at https://syllabus.sfsu.edu/.</v>
      </c>
      <c r="F44" s="1"/>
      <c r="G44" t="s">
        <v>38</v>
      </c>
      <c r="J44" s="190">
        <f>IF(ISBLANK(_im07_gap[[#This Row],[2023 Status]]), "2023 Status Empty",
IFERROR(
    IF(VLOOKUP(_im07_gap[[#This Row],[2021 Status]], _statuses[Status Level]:_statuses[Status Value], 7, FALSE) &gt; VLOOKUP(_im07_gap[[#This Row],[2023 Status]], _statuses[Status Level]:_statuses[Status Value], 7, FALSE),
    -ABS(VLOOKUP(_im07_gap[[#This Row],[2021 Status]], _statuses[Status Level]:_statuses[Status Value], 7, FALSE) - VLOOKUP(_im07_gap[[#This Row],[2023 Status]], _statuses[Status Level]:_statuses[Status Value], 7, FALSE)),
    ABS(VLOOKUP(_im07_gap[[#This Row],[2021 Status]], _statuses[Status Level]:_statuses[Status Value], 7, FALSE) - VLOOKUP(_im07_gap[[#This Row],[2023 Status]], _statuses[Status Level]:_statuses[Status Value], 7, FALSE))),
"Error in Calculation")
)</f>
        <v>0</v>
      </c>
      <c r="K44" s="236"/>
      <c r="L44" s="236"/>
      <c r="M44" s="236"/>
      <c r="N44" s="236"/>
      <c r="O44" s="236"/>
      <c r="P44" s="236"/>
      <c r="Q44" s="236"/>
    </row>
    <row r="45" spans="1:17" ht="101.5" x14ac:dyDescent="0.35">
      <c r="A45" t="str" cm="1">
        <f t="array" ref="A45">IFERROR(INDEX(_im07[Goal '#], SMALL(IF(_im07[Success Indicator]&lt;&gt; "Removed", ROW(_im07[Goal '#])-ROW(INDEX(_im07[Goal '#],1,1))+1), ROW(3:3))), "") &amp; ""</f>
        <v>7.5</v>
      </c>
      <c r="B45" s="1" t="str" cm="1">
        <f t="array" ref="B45">IFERROR(INDEX(_im07[Success Indicator], SMALL(IF(_im07[Success Indicator]&lt;&gt; "Removed", ROW(_im07[Success Indicator])-ROW(INDEX(_im07[Success Indicator],1,1))+1), ROW(3:3))), "") &amp; ""</f>
        <v>Developed a process and provide resources for faculty and instructional staff to create accessible instructional content.</v>
      </c>
      <c r="C45" s="1" t="str" cm="1">
        <f t="array" ref="C45">IFERROR(INDEX(_im07[Department Stakeholder?], SMALL(IF(_im07[Success Indicator]&lt;&gt; "Removed", ROW(_im07[Department Stakeholder?])-ROW(INDEX(_im07[Department Stakeholder?],1,1))+1), ROW(3:3))), "") &amp; ""</f>
        <v>Senior Accessible Technology Services Coordinator</v>
      </c>
      <c r="D45" t="str" cm="1">
        <f t="array" ref="D45">IFERROR(INDEX(_im07[2021 Status], SMALL(IF(_im07[Success Indicator]&lt;&gt; "Removed", ROW(_im07[2021 Status])-ROW(INDEX(_im07[2021 Status],1,1))+1), ROW(3:3))), "") &amp; ""</f>
        <v>Established</v>
      </c>
      <c r="E45" s="1" t="str" cm="1">
        <f t="array" ref="E45">IFERROR(INDEX(_im07[2021 Evidence], SMALL(IF(_im07[Success Indicator]&lt;&gt; "Removed", ROW(_im07[2021 Evidence])-ROW(INDEX(_im07[2021 Evidence],1,1))+1), ROW(3:3))), "") &amp; ""</f>
        <v xml:space="preserve">ATS Program Manager, Accessible Media Program Coordinator Faculty may consult with DPRC if they would like to verify accessibility of their course materials. Faculty going through QLT and CourseMatch are required to verify accessibility of course materials. Resources are at https://access.sfsu.edu/ati/instruction/ </v>
      </c>
      <c r="F45" s="1" t="s">
        <v>128</v>
      </c>
      <c r="G45" t="s">
        <v>33</v>
      </c>
      <c r="J45" s="190">
        <f>IF(ISBLANK(_im07_gap[[#This Row],[2023 Status]]), "2023 Status Empty",
IFERROR(
    IF(VLOOKUP(_im07_gap[[#This Row],[2021 Status]], _statuses[Status Level]:_statuses[Status Value], 7, FALSE) &gt; VLOOKUP(_im07_gap[[#This Row],[2023 Status]], _statuses[Status Level]:_statuses[Status Value], 7, FALSE),
    -ABS(VLOOKUP(_im07_gap[[#This Row],[2021 Status]], _statuses[Status Level]:_statuses[Status Value], 7, FALSE) - VLOOKUP(_im07_gap[[#This Row],[2023 Status]], _statuses[Status Level]:_statuses[Status Value], 7, FALSE)),
    ABS(VLOOKUP(_im07_gap[[#This Row],[2021 Status]], _statuses[Status Level]:_statuses[Status Value], 7, FALSE) - VLOOKUP(_im07_gap[[#This Row],[2023 Status]], _statuses[Status Level]:_statuses[Status Value], 7, FALSE))),
"Error in Calculation")
)</f>
        <v>0</v>
      </c>
      <c r="K45" s="236"/>
      <c r="L45" s="236"/>
      <c r="M45" s="236"/>
      <c r="N45" s="236"/>
      <c r="O45" s="236"/>
      <c r="P45" s="236"/>
      <c r="Q45" s="236"/>
    </row>
    <row r="46" spans="1:17" ht="58" customHeight="1" thickBot="1" x14ac:dyDescent="0.4">
      <c r="A46" t="str" cm="1">
        <f t="array" ref="A46">IFERROR(INDEX(_im07[Goal '#], SMALL(IF(_im07[Success Indicator]&lt;&gt; "Removed", ROW(_im07[Goal '#])-ROW(INDEX(_im07[Goal '#],1,1))+1), ROW(4:4))), "") &amp; ""</f>
        <v>7.11</v>
      </c>
      <c r="B46" s="1" t="str" cm="1">
        <f t="array" ref="B46">IFERROR(INDEX(_im07[Success Indicator], SMALL(IF(_im07[Success Indicator]&lt;&gt; "Removed", ROW(_im07[Success Indicator])-ROW(INDEX(_im07[Success Indicator],1,1))+1), ROW(4:4))), "") &amp; ""</f>
        <v>Developed a process that incorporates accessibility when acquiring, converting, digitizing, creating, and maintaining library assets. </v>
      </c>
      <c r="C46" s="1" t="str" cm="1">
        <f t="array" ref="C46">IFERROR(INDEX(_im07[Department Stakeholder?], SMALL(IF(_im07[Success Indicator]&lt;&gt; "Removed", ROW(_im07[Department Stakeholder?])-ROW(INDEX(_im07[Department Stakeholder?],1,1))+1), ROW(4:4))), "") &amp; ""</f>
        <v>University Librarian</v>
      </c>
      <c r="D46" t="str" cm="1">
        <f t="array" ref="D46">IFERROR(INDEX(_im07[2021 Status], SMALL(IF(_im07[Success Indicator]&lt;&gt; "Removed", ROW(_im07[2021 Status])-ROW(INDEX(_im07[2021 Status],1,1))+1), ROW(4:4))), "") &amp; ""</f>
        <v>Defined</v>
      </c>
      <c r="E46" s="1" t="str" cm="1">
        <f t="array" ref="E46">IFERROR(INDEX(_im07[2021 Evidence], SMALL(IF(_im07[Success Indicator]&lt;&gt; "Removed", ROW(_im07[2021 Evidence])-ROW(INDEX(_im07[2021 Evidence],1,1))+1), ROW(4:4))), "") &amp; ""</f>
        <v>ad-hoc accessibility processes are performed by the library (ex. scanning in theses). Acquisition is covered by CSU CO ATI procurement processes</v>
      </c>
      <c r="F46" s="1" t="s">
        <v>171</v>
      </c>
      <c r="G46" t="s">
        <v>38</v>
      </c>
      <c r="J46" s="189">
        <f>IF(ISBLANK(_im07_gap[[#This Row],[2023 Status]]), "2023 Status Empty",
IFERROR(
    IF(VLOOKUP(_im07_gap[[#This Row],[2021 Status]], _statuses[Status Level]:_statuses[Status Value], 7, FALSE) &gt; VLOOKUP(_im07_gap[[#This Row],[2023 Status]], _statuses[Status Level]:_statuses[Status Value], 7, FALSE),
    -ABS(VLOOKUP(_im07_gap[[#This Row],[2021 Status]], _statuses[Status Level]:_statuses[Status Value], 7, FALSE) - VLOOKUP(_im07_gap[[#This Row],[2023 Status]], _statuses[Status Level]:_statuses[Status Value], 7, FALSE)),
    ABS(VLOOKUP(_im07_gap[[#This Row],[2021 Status]], _statuses[Status Level]:_statuses[Status Value], 7, FALSE) - VLOOKUP(_im07_gap[[#This Row],[2023 Status]], _statuses[Status Level]:_statuses[Status Value], 7, FALSE))),
"Error in Calculation")
)</f>
        <v>0</v>
      </c>
      <c r="K46" s="236"/>
      <c r="L46" s="236"/>
      <c r="M46" s="236"/>
      <c r="N46" s="236"/>
      <c r="O46" s="236"/>
      <c r="P46" s="236"/>
      <c r="Q46" s="236"/>
    </row>
    <row r="47" spans="1:17" x14ac:dyDescent="0.35">
      <c r="A47" s="236" t="str" cm="1">
        <f t="array" ref="A47">IFERROR(INDEX(_im07[Goal '#], SMALL(IF(_im07[Success Indicator]&lt;&gt; "Removed", ROW(_im07[Goal '#])-ROW(INDEX(_im07[Goal '#],1,1))+1), ROW(#REF!))), "") &amp; ""</f>
        <v/>
      </c>
      <c r="B47" s="197"/>
      <c r="C47" s="197"/>
      <c r="D47" s="236"/>
      <c r="E47" s="197"/>
      <c r="F47" s="197"/>
      <c r="G47" s="236"/>
      <c r="H47" s="236"/>
      <c r="I47" s="236"/>
      <c r="J47" s="236"/>
      <c r="K47" s="236"/>
      <c r="L47" s="236"/>
      <c r="M47" s="236"/>
      <c r="N47" s="236"/>
      <c r="O47" s="236"/>
      <c r="P47" s="236"/>
      <c r="Q47" s="236"/>
    </row>
    <row r="48" spans="1:17" x14ac:dyDescent="0.35">
      <c r="A48" s="236" t="str" cm="1">
        <f t="array" ref="A48">IFERROR(INDEX(_im07[Goal '#], SMALL(IF(_im07[Success Indicator]&lt;&gt; "Removed", ROW(_im07[Goal '#])-ROW(INDEX(_im07[Goal '#],1,1))+1), ROW(#REF!))), "") &amp; ""</f>
        <v/>
      </c>
      <c r="B48" s="197"/>
      <c r="C48" s="197"/>
      <c r="D48" s="236"/>
      <c r="E48" s="197"/>
      <c r="F48" s="197"/>
      <c r="G48" s="236"/>
      <c r="H48" s="236"/>
      <c r="I48" s="236"/>
      <c r="J48" s="236"/>
      <c r="K48" s="236"/>
      <c r="L48" s="236"/>
      <c r="M48" s="236"/>
      <c r="N48" s="236"/>
      <c r="O48" s="236"/>
      <c r="P48" s="236"/>
      <c r="Q48" s="236"/>
    </row>
    <row r="49" spans="1:17" ht="15" thickBot="1" x14ac:dyDescent="0.4">
      <c r="A49" t="s">
        <v>3</v>
      </c>
      <c r="B49" s="1" t="s">
        <v>4</v>
      </c>
      <c r="C49" t="s">
        <v>5</v>
      </c>
      <c r="D49" t="s">
        <v>238</v>
      </c>
      <c r="E49" t="s">
        <v>6</v>
      </c>
      <c r="F49" t="s">
        <v>7</v>
      </c>
      <c r="G49" t="s">
        <v>8</v>
      </c>
      <c r="H49" t="s">
        <v>10</v>
      </c>
      <c r="I49" t="s">
        <v>11</v>
      </c>
      <c r="J49" t="s">
        <v>590</v>
      </c>
      <c r="K49" s="236"/>
      <c r="L49" s="236"/>
      <c r="M49" s="236"/>
      <c r="N49" s="236"/>
      <c r="O49" s="236"/>
      <c r="P49" s="236"/>
      <c r="Q49" s="236"/>
    </row>
    <row r="50" spans="1:17" ht="107.15" customHeight="1" x14ac:dyDescent="0.35">
      <c r="A50" t="str" cm="1">
        <f t="array" ref="A50">IFERROR(INDEX(_im08[Goal '#], SMALL(IF(_im08[Success Indicator]&lt;&gt; "Removed", ROW(_im08[Goal '#])-ROW(INDEX(_im08[Goal '#],1,1))+1), ROW(1:1))), "") &amp; ""</f>
        <v>8.1</v>
      </c>
      <c r="B50" s="1" t="str" cm="1">
        <f t="array" ref="B50">IFERROR(INDEX(_im08[Success Indicator], SMALL(IF(_im08[Success Indicator]&lt;&gt; "Removed", ROW(_im08[Success Indicator])-ROW(INDEX(_im08[Success Indicator],1,1))+1), ROW(1:1))), "") &amp; ""</f>
        <v xml:space="preserve">Develop a formal communication campaign with executive support to increase knowledge of accessibility issues and responsibilities.  </v>
      </c>
      <c r="C50" s="1" t="str" cm="1">
        <f t="array" ref="C50">IFERROR(INDEX(_im08[Department Stakeholder?], SMALL(IF(_im08[Success Indicator]&lt;&gt; "Removed", ROW(_im08[Department Stakeholder?])-ROW(INDEX(_im08[Department Stakeholder?],1,1))+1), ROW(1:1))), "") &amp; ""</f>
        <v>Director DPRC</v>
      </c>
      <c r="D50" t="str" cm="1">
        <f t="array" ref="D50">IFERROR(INDEX(_im08[2021 Status], SMALL(IF(_im08[Success Indicator]&lt;&gt; "Removed", ROW(_im08[2021 Status])-ROW(INDEX(_im08[2021 Status],1,1))+1), ROW(1:1))), "") &amp; ""</f>
        <v>Defined</v>
      </c>
      <c r="E50" s="1" t="str" cm="1">
        <f t="array" ref="E50">IFERROR(INDEX(_im08[2021 Evidence], SMALL(IF(_im08[Success Indicator]&lt;&gt; "Removed", ROW(_im08[2021 Evidence])-ROW(INDEX(_im08[2021 Evidence],1,1))+1), ROW(1:1))), "") &amp; ""</f>
        <v>ATI Executive Sponsor, DPRC Director, ATS Program Manager and other staff at DPRC.  DPRC has conducted several presentations and sit on various campus-wide committees to spread awareness of accessibility. Information on the ATI is shared at new faculty and new lecturer orientations. Documentation is available at X:\ATI\Admin\Presentations</v>
      </c>
      <c r="F50" s="1"/>
      <c r="G50" t="s">
        <v>38</v>
      </c>
      <c r="J50" s="188">
        <f>IF(ISBLANK(_im08_gap[[#This Row],[2023 Status]]), "2023 Status Empty",
IF(_im08_gap[[#This Row],[2023 Status]] = "Not Started", -5,
IFERROR(
    IF(VLOOKUP(_im08_gap[[#This Row],[2021 Status]], _statuses[Status Level]:_statuses[Status Value], 7, FALSE) &gt; VLOOKUP(_im08_gap[[#This Row],[2023 Status]], _statuses[Status Level]:_statuses[Status Value], 7, FALSE),
    -ABS(VLOOKUP(_im08_gap[[#This Row],[2021 Status]], _statuses[Status Level]:_statuses[Status Value], 7, FALSE) - VLOOKUP(_im08_gap[[#This Row],[2023 Status]], _statuses[Status Level]:_statuses[Status Value], 7, FALSE)),
    ABS(VLOOKUP(_im08_gap[[#This Row],[2021 Status]], _statuses[Status Level]:_statuses[Status Value], 7, FALSE) - VLOOKUP(_im08_gap[[#This Row],[2023 Status]], _statuses[Status Level]:_statuses[Status Value], 7, FALSE))),
"Error in Calculation")
))</f>
        <v>0</v>
      </c>
      <c r="K50" s="236"/>
      <c r="L50" s="236"/>
      <c r="M50" s="236"/>
      <c r="N50" s="236"/>
      <c r="O50" s="236"/>
      <c r="P50" s="236"/>
      <c r="Q50" s="236"/>
    </row>
    <row r="51" spans="1:17" ht="72.5" x14ac:dyDescent="0.35">
      <c r="A51" t="str" cm="1">
        <f t="array" ref="A51">IFERROR(INDEX(_im08[Goal '#], SMALL(IF(_im08[Success Indicator]&lt;&gt; "Removed", ROW(_im08[Goal '#])-ROW(INDEX(_im08[Goal '#],1,1))+1), ROW(2:2))), "") &amp; ""</f>
        <v>8.3</v>
      </c>
      <c r="B51" s="1" t="str" cm="1">
        <f t="array" ref="B51">IFERROR(INDEX(_im08[Success Indicator], SMALL(IF(_im08[Success Indicator]&lt;&gt; "Removed", ROW(_im08[Success Indicator])-ROW(INDEX(_im08[Success Indicator],1,1))+1), ROW(2:2))), "") &amp; ""</f>
        <v xml:space="preserve">Develop a process including various training materials, both in content and modality, for creating, selecting, adopting, and remediating instructional materials.  </v>
      </c>
      <c r="C51" s="1" t="str" cm="1">
        <f t="array" ref="C51">IFERROR(INDEX(_im08[Department Stakeholder?], SMALL(IF(_im08[Success Indicator]&lt;&gt; "Removed", ROW(_im08[Department Stakeholder?])-ROW(INDEX(_im08[Department Stakeholder?],1,1))+1), ROW(2:2))), "") &amp; ""</f>
        <v>Senior Accessible Technology Services Coordinator</v>
      </c>
      <c r="D51" t="str" cm="1">
        <f t="array" ref="D51">IFERROR(INDEX(_im08[2021 Status], SMALL(IF(_im08[Success Indicator]&lt;&gt; "Removed", ROW(_im08[2021 Status])-ROW(INDEX(_im08[2021 Status],1,1))+1), ROW(2:2))), "") &amp; ""</f>
        <v>Established</v>
      </c>
      <c r="E51" s="161" t="str" cm="1">
        <f t="array" ref="E51">IFERROR(INDEX(_im08[2021 Evidence], SMALL(IF(_im08[Success Indicator]&lt;&gt; "Removed", ROW(_im08[2021 Evidence])-ROW(INDEX(_im08[2021 Evidence],1,1))+1), ROW(2:2))), "") &amp; ""</f>
        <v>ATS Program Manager, Accessible Media Program Coordinator Training materials are available at http://access.sfsu.edu/ati/instruction. In addition, several one-on-one trainings are conducted with faculty upon request.</v>
      </c>
      <c r="F51" s="1"/>
      <c r="G51" t="s">
        <v>33</v>
      </c>
      <c r="J51" s="190">
        <f>IF(ISBLANK(_im08_gap[[#This Row],[2023 Status]]), "2023 Status Empty",
IF(_im08_gap[[#This Row],[2023 Status]] = "Not Started", -5,
IFERROR(
    IF(VLOOKUP(_im08_gap[[#This Row],[2021 Status]], _statuses[Status Level]:_statuses[Status Value], 7, FALSE) &gt; VLOOKUP(_im08_gap[[#This Row],[2023 Status]], _statuses[Status Level]:_statuses[Status Value], 7, FALSE),
    -ABS(VLOOKUP(_im08_gap[[#This Row],[2021 Status]], _statuses[Status Level]:_statuses[Status Value], 7, FALSE) - VLOOKUP(_im08_gap[[#This Row],[2023 Status]], _statuses[Status Level]:_statuses[Status Value], 7, FALSE)),
    ABS(VLOOKUP(_im08_gap[[#This Row],[2021 Status]], _statuses[Status Level]:_statuses[Status Value], 7, FALSE) - VLOOKUP(_im08_gap[[#This Row],[2023 Status]], _statuses[Status Level]:_statuses[Status Value], 7, FALSE))),
"Error in Calculation")
))</f>
        <v>0</v>
      </c>
      <c r="K51" s="236"/>
      <c r="L51" s="236"/>
      <c r="M51" s="236"/>
      <c r="N51" s="236"/>
      <c r="O51" s="236"/>
      <c r="P51" s="236"/>
      <c r="Q51" s="236"/>
    </row>
    <row r="52" spans="1:17" ht="72.5" x14ac:dyDescent="0.35">
      <c r="A52" t="str" cm="1">
        <f t="array" ref="A52">IFERROR(INDEX(_im08[Goal '#], SMALL(IF(_im08[Success Indicator]&lt;&gt; "Removed", ROW(_im08[Goal '#])-ROW(INDEX(_im08[Goal '#],1,1))+1), ROW(3:3))), "") &amp; ""</f>
        <v>8.11</v>
      </c>
      <c r="B52" s="1" t="str" cm="1">
        <f t="array" ref="B52">IFERROR(INDEX(_im08[Success Indicator], SMALL(IF(_im08[Success Indicator]&lt;&gt; "Removed", ROW(_im08[Success Indicator])-ROW(INDEX(_im08[Success Indicator],1,1))+1), ROW(3:3))), "") &amp; ""</f>
        <v>Campus has integrated accessibility into faculty orientations.</v>
      </c>
      <c r="C52" s="1" t="str" cm="1">
        <f t="array" ref="C52">IFERROR(INDEX(_im08[Department Stakeholder?], SMALL(IF(_im08[Success Indicator]&lt;&gt; "Removed", ROW(_im08[Department Stakeholder?])-ROW(INDEX(_im08[Department Stakeholder?],1,1))+1), ROW(3:3))), "") &amp; ""</f>
        <v>Director DPRC</v>
      </c>
      <c r="D52" t="str" cm="1">
        <f t="array" ref="D52">IFERROR(INDEX(_im08[2021 Status], SMALL(IF(_im08[Success Indicator]&lt;&gt; "Removed", ROW(_im08[2021 Status])-ROW(INDEX(_im08[2021 Status],1,1))+1), ROW(3:3))), "") &amp; ""</f>
        <v>Defined</v>
      </c>
      <c r="E52" s="1" t="str" cm="1">
        <f t="array" ref="E52">IFERROR(INDEX(_im08[2021 Evidence], SMALL(IF(_im08[Success Indicator]&lt;&gt; "Removed", ROW(_im08[2021 Evidence])-ROW(INDEX(_im08[2021 Evidence],1,1))+1), ROW(3:3))), "") &amp; ""</f>
        <v xml:space="preserve">DPRC Director and other DPRC staff DPRC Director speaks at each New Faculty and New Lecturer Orientation and does a presentation on accessibility and accommodations. Documentation at Box\Student Services\Outreach\PowerPoint Presentations </v>
      </c>
      <c r="F52" s="1" t="s">
        <v>41</v>
      </c>
      <c r="G52" t="s">
        <v>42</v>
      </c>
      <c r="J52" s="190">
        <f>IF(ISBLANK(_im08_gap[[#This Row],[2023 Status]]), "2023 Status Empty",
IF(_im08_gap[[#This Row],[2023 Status]] = "Not Started", -5,
IFERROR(
    IF(VLOOKUP(_im08_gap[[#This Row],[2021 Status]], _statuses[Status Level]:_statuses[Status Value], 7, FALSE) &gt; VLOOKUP(_im08_gap[[#This Row],[2023 Status]], _statuses[Status Level]:_statuses[Status Value], 7, FALSE),
    -ABS(VLOOKUP(_im08_gap[[#This Row],[2021 Status]], _statuses[Status Level]:_statuses[Status Value], 7, FALSE) - VLOOKUP(_im08_gap[[#This Row],[2023 Status]], _statuses[Status Level]:_statuses[Status Value], 7, FALSE)),
    ABS(VLOOKUP(_im08_gap[[#This Row],[2021 Status]], _statuses[Status Level]:_statuses[Status Value], 7, FALSE) - VLOOKUP(_im08_gap[[#This Row],[2023 Status]], _statuses[Status Level]:_statuses[Status Value], 7, FALSE))),
"Error in Calculation")
))</f>
        <v>-1</v>
      </c>
      <c r="K52" s="236"/>
      <c r="L52" s="236"/>
      <c r="M52" s="236"/>
      <c r="N52" s="236"/>
      <c r="O52" s="236"/>
      <c r="P52" s="236"/>
      <c r="Q52" s="236"/>
    </row>
    <row r="53" spans="1:17" ht="58" customHeight="1" x14ac:dyDescent="0.35">
      <c r="A53" t="str" cm="1">
        <f t="array" ref="A53">IFERROR(INDEX(_im08[Goal '#], SMALL(IF(_im08[Success Indicator]&lt;&gt; "Removed", ROW(_im08[Goal '#])-ROW(INDEX(_im08[Goal '#],1,1))+1), ROW(4:4))), "") &amp; ""</f>
        <v>8.12</v>
      </c>
      <c r="B53" s="1" t="str" cm="1">
        <f t="array" ref="B53">IFERROR(INDEX(_im08[Success Indicator], SMALL(IF(_im08[Success Indicator]&lt;&gt; "Removed", ROW(_im08[Success Indicator])-ROW(INDEX(_im08[Success Indicator],1,1))+1), ROW(4:4))), "") &amp; ""</f>
        <v xml:space="preserve">(NEW) Developed a process that integrates accessibility information into faculty development. </v>
      </c>
      <c r="C53" s="1" t="str" cm="1">
        <f t="array" ref="C53">IFERROR(INDEX(_im08[Department Stakeholder?], SMALL(IF(_im08[Success Indicator]&lt;&gt; "Removed", ROW(_im08[Department Stakeholder?])-ROW(INDEX(_im08[Department Stakeholder?],1,1))+1), ROW(4:4))), "") &amp; ""</f>
        <v>Senior Director of Teaching and Learning Programs and Services</v>
      </c>
      <c r="D53" t="str" cm="1">
        <f t="array" ref="D53">IFERROR(INDEX(_im08[2021 Status], SMALL(IF(_im08[Success Indicator]&lt;&gt; "Removed", ROW(_im08[2021 Status])-ROW(INDEX(_im08[2021 Status],1,1))+1), ROW(4:4))), "") &amp; ""</f>
        <v>Not Started</v>
      </c>
      <c r="E53" s="1" t="str" cm="1">
        <f t="array" ref="E53">IFERROR(INDEX(_im08[2021 Evidence], SMALL(IF(_im08[Success Indicator]&lt;&gt; "Removed", ROW(_im08[2021 Evidence])-ROW(INDEX(_im08[2021 Evidence],1,1))+1), ROW(4:4))), "") &amp; ""</f>
        <v/>
      </c>
      <c r="F53" s="1"/>
      <c r="G53" t="s">
        <v>15</v>
      </c>
      <c r="J53" s="190">
        <f>IF(ISBLANK(_im08_gap[[#This Row],[2023 Status]]), "2023 Status Empty",
IF(_im08_gap[[#This Row],[2023 Status]] = "Not Started", -5,
IFERROR(
    IF(VLOOKUP(_im08_gap[[#This Row],[2021 Status]], _statuses[Status Level]:_statuses[Status Value], 7, FALSE) &gt; VLOOKUP(_im08_gap[[#This Row],[2023 Status]], _statuses[Status Level]:_statuses[Status Value], 7, FALSE),
    -ABS(VLOOKUP(_im08_gap[[#This Row],[2021 Status]], _statuses[Status Level]:_statuses[Status Value], 7, FALSE) - VLOOKUP(_im08_gap[[#This Row],[2023 Status]], _statuses[Status Level]:_statuses[Status Value], 7, FALSE)),
    ABS(VLOOKUP(_im08_gap[[#This Row],[2021 Status]], _statuses[Status Level]:_statuses[Status Value], 7, FALSE) - VLOOKUP(_im08_gap[[#This Row],[2023 Status]], _statuses[Status Level]:_statuses[Status Value], 7, FALSE))),
"Error in Calculation")
))</f>
        <v>-5</v>
      </c>
      <c r="K53" s="236"/>
      <c r="L53" s="236"/>
      <c r="M53" s="236"/>
      <c r="N53" s="236"/>
      <c r="O53" s="236"/>
      <c r="P53" s="236"/>
      <c r="Q53" s="236"/>
    </row>
    <row r="54" spans="1:17" ht="43.5" x14ac:dyDescent="0.35">
      <c r="A54" t="str" cm="1">
        <f t="array" ref="A54">IFERROR(INDEX(_im08[Goal '#], SMALL(IF(_im08[Success Indicator]&lt;&gt; "Removed", ROW(_im08[Goal '#])-ROW(INDEX(_im08[Goal '#],1,1))+1), ROW(5:5))), "") &amp; ""</f>
        <v>8.13</v>
      </c>
      <c r="B54" s="1" t="str" cm="1">
        <f t="array" ref="B54">IFERROR(INDEX(_im08[Success Indicator], SMALL(IF(_im08[Success Indicator]&lt;&gt; "Removed", ROW(_im08[Success Indicator])-ROW(INDEX(_im08[Success Indicator],1,1))+1), ROW(5:5))), "") &amp; ""</f>
        <v>(NEW) Developed a process that integrates accessibility information into academic technology activities.</v>
      </c>
      <c r="C54" s="1" t="str" cm="1">
        <f t="array" ref="C54">IFERROR(INDEX(_im08[Department Stakeholder?], SMALL(IF(_im08[Success Indicator]&lt;&gt; "Removed", ROW(_im08[Department Stakeholder?])-ROW(INDEX(_im08[Department Stakeholder?],1,1))+1), ROW(5:5))), "") &amp; ""</f>
        <v>Senior Director of Teaching and Learning Programs and Services</v>
      </c>
      <c r="D54" t="str" cm="1">
        <f t="array" ref="D54">IFERROR(INDEX(_im08[2021 Status], SMALL(IF(_im08[Success Indicator]&lt;&gt; "Removed", ROW(_im08[2021 Status])-ROW(INDEX(_im08[2021 Status],1,1))+1), ROW(5:5))), "") &amp; ""</f>
        <v>Defined</v>
      </c>
      <c r="E54" s="1" t="str" cm="1">
        <f t="array" ref="E54">IFERROR(INDEX(_im08[2021 Evidence], SMALL(IF(_im08[Success Indicator]&lt;&gt; "Removed", ROW(_im08[2021 Evidence])-ROW(INDEX(_im08[2021 Evidence],1,1))+1), ROW(5:5))), "") &amp; ""</f>
        <v xml:space="preserve">CEETL includes DPRC and accessibility in their workshops and events. https://ceetl.sfsu.edu/ </v>
      </c>
      <c r="F54" s="1" t="s">
        <v>164</v>
      </c>
      <c r="G54" t="s">
        <v>42</v>
      </c>
      <c r="J54" s="190">
        <f>IF(ISBLANK(_im08_gap[[#This Row],[2023 Status]]), "2023 Status Empty",
IF(_im08_gap[[#This Row],[2023 Status]] = "Not Started", -5,
IFERROR(
    IF(VLOOKUP(_im08_gap[[#This Row],[2021 Status]], _statuses[Status Level]:_statuses[Status Value], 7, FALSE) &gt; VLOOKUP(_im08_gap[[#This Row],[2023 Status]], _statuses[Status Level]:_statuses[Status Value], 7, FALSE),
    -ABS(VLOOKUP(_im08_gap[[#This Row],[2021 Status]], _statuses[Status Level]:_statuses[Status Value], 7, FALSE) - VLOOKUP(_im08_gap[[#This Row],[2023 Status]], _statuses[Status Level]:_statuses[Status Value], 7, FALSE)),
    ABS(VLOOKUP(_im08_gap[[#This Row],[2021 Status]], _statuses[Status Level]:_statuses[Status Value], 7, FALSE) - VLOOKUP(_im08_gap[[#This Row],[2023 Status]], _statuses[Status Level]:_statuses[Status Value], 7, FALSE))),
"Error in Calculation")
))</f>
        <v>-1</v>
      </c>
      <c r="K54" s="236"/>
      <c r="L54" s="236"/>
      <c r="M54" s="236"/>
      <c r="N54" s="236"/>
      <c r="O54" s="236"/>
      <c r="P54" s="236"/>
      <c r="Q54" s="236"/>
    </row>
    <row r="55" spans="1:17" ht="44" thickBot="1" x14ac:dyDescent="0.4">
      <c r="A55" t="str" cm="1">
        <f t="array" ref="A55">IFERROR(INDEX(_im08[Goal '#], SMALL(IF(_im08[Success Indicator]&lt;&gt; "Removed", ROW(_im08[Goal '#])-ROW(INDEX(_im08[Goal '#],1,1))+1), ROW(6:6))), "") &amp; ""</f>
        <v>8.14</v>
      </c>
      <c r="B55" s="1" t="str" cm="1">
        <f t="array" ref="B55">IFERROR(INDEX(_im08[Success Indicator], SMALL(IF(_im08[Success Indicator]&lt;&gt; "Removed", ROW(_im08[Success Indicator])-ROW(INDEX(_im08[Success Indicator],1,1))+1), ROW(6:6))), "") &amp; ""</f>
        <v>(NEW) Developed a process to provide ongoing professional development for employees with ATI accessible instructional materials responsibilities.</v>
      </c>
      <c r="C55" s="1" t="str" cm="1">
        <f t="array" ref="C55">IFERROR(INDEX(_im08[Department Stakeholder?], SMALL(IF(_im08[Success Indicator]&lt;&gt; "Removed", ROW(_im08[Department Stakeholder?])-ROW(INDEX(_im08[Department Stakeholder?],1,1))+1), ROW(6:6))), "") &amp; ""</f>
        <v>Director DPRC</v>
      </c>
      <c r="D55" t="str" cm="1">
        <f t="array" ref="D55">IFERROR(INDEX(_im08[2021 Status], SMALL(IF(_im08[Success Indicator]&lt;&gt; "Removed", ROW(_im08[2021 Status])-ROW(INDEX(_im08[2021 Status],1,1))+1), ROW(6:6))), "") &amp; ""</f>
        <v>Defined</v>
      </c>
      <c r="E55" s="1" t="str" cm="1">
        <f t="array" ref="E55">IFERROR(INDEX(_im08[2021 Evidence], SMALL(IF(_im08[Success Indicator]&lt;&gt; "Removed", ROW(_im08[2021 Evidence])-ROW(INDEX(_im08[2021 Evidence],1,1))+1), ROW(6:6))), "") &amp; ""</f>
        <v xml:space="preserve">DPRC Director DPRC budget has line item for professional development funds for DPRC staff, including Accessible Media Program Coordinator. </v>
      </c>
      <c r="F55" s="1"/>
      <c r="G55" t="s">
        <v>38</v>
      </c>
      <c r="J55" s="189">
        <f>IF(ISBLANK(_im08_gap[[#This Row],[2023 Status]]), "2023 Status Empty",
IF(_im08_gap[[#This Row],[2023 Status]] = "Not Started", -5,
IFERROR(
    IF(VLOOKUP(_im08_gap[[#This Row],[2021 Status]], _statuses[Status Level]:_statuses[Status Value], 7, FALSE) &gt; VLOOKUP(_im08_gap[[#This Row],[2023 Status]], _statuses[Status Level]:_statuses[Status Value], 7, FALSE),
    -ABS(VLOOKUP(_im08_gap[[#This Row],[2021 Status]], _statuses[Status Level]:_statuses[Status Value], 7, FALSE) - VLOOKUP(_im08_gap[[#This Row],[2023 Status]], _statuses[Status Level]:_statuses[Status Value], 7, FALSE)),
    ABS(VLOOKUP(_im08_gap[[#This Row],[2021 Status]], _statuses[Status Level]:_statuses[Status Value], 7, FALSE) - VLOOKUP(_im08_gap[[#This Row],[2023 Status]], _statuses[Status Level]:_statuses[Status Value], 7, FALSE))),
"Error in Calculation")
))</f>
        <v>0</v>
      </c>
      <c r="K55" s="236"/>
      <c r="L55" s="236"/>
      <c r="M55" s="236"/>
      <c r="N55" s="236"/>
      <c r="O55" s="236"/>
      <c r="P55" s="236"/>
      <c r="Q55" s="236"/>
    </row>
    <row r="56" spans="1:17" x14ac:dyDescent="0.35">
      <c r="A56" s="236"/>
      <c r="B56" s="197"/>
      <c r="C56" s="197"/>
      <c r="D56" s="236"/>
      <c r="E56" s="197"/>
      <c r="F56" s="197"/>
      <c r="G56" s="236"/>
      <c r="H56" s="236"/>
      <c r="I56" s="236"/>
      <c r="J56" s="236"/>
      <c r="K56" s="236"/>
      <c r="L56" s="236"/>
      <c r="M56" s="236"/>
      <c r="N56" s="236"/>
      <c r="O56" s="236"/>
      <c r="P56" s="236"/>
      <c r="Q56" s="236"/>
    </row>
    <row r="57" spans="1:17" x14ac:dyDescent="0.35">
      <c r="A57" s="236" t="str" cm="1">
        <f t="array" ref="A57">IFERROR(INDEX(_im08[Goal '#], SMALL(IF(_im08[Success Indicator]&lt;&gt; "Removed", ROW(_im08[Goal '#])-ROW(INDEX(_im08[Goal '#],1,1))+1), ROW(#REF!))), "") &amp; ""</f>
        <v/>
      </c>
      <c r="B57" s="197"/>
      <c r="C57" s="236"/>
      <c r="D57" s="236"/>
      <c r="E57" s="236"/>
      <c r="F57" s="197"/>
      <c r="G57" s="236"/>
      <c r="H57" s="236"/>
      <c r="I57" s="236"/>
      <c r="J57" s="236"/>
      <c r="K57" s="236"/>
      <c r="L57" s="236"/>
      <c r="M57" s="236"/>
      <c r="N57" s="236"/>
      <c r="O57" s="236"/>
      <c r="P57" s="236"/>
      <c r="Q57" s="236"/>
    </row>
    <row r="58" spans="1:17" x14ac:dyDescent="0.35">
      <c r="A58" s="236" t="str" cm="1">
        <f t="array" ref="A58">IFERROR(INDEX(_im08[Goal '#], SMALL(IF(_im08[Success Indicator]&lt;&gt; "Removed", ROW(_im08[Goal '#])-ROW(INDEX(_im08[Goal '#],1,1))+1), ROW(#REF!))), "") &amp; ""</f>
        <v/>
      </c>
      <c r="B58" s="197"/>
      <c r="C58" s="197"/>
      <c r="D58" s="236"/>
      <c r="E58" s="197"/>
      <c r="F58" s="197"/>
      <c r="G58" s="236"/>
      <c r="H58" s="236"/>
      <c r="I58" s="236"/>
      <c r="J58" s="236"/>
      <c r="K58" s="236"/>
      <c r="L58" s="236"/>
      <c r="M58" s="236"/>
      <c r="N58" s="236"/>
      <c r="O58" s="236"/>
      <c r="P58" s="236"/>
      <c r="Q58" s="236"/>
    </row>
    <row r="59" spans="1:17" ht="15" thickBot="1" x14ac:dyDescent="0.4">
      <c r="A59" t="s">
        <v>3</v>
      </c>
      <c r="B59" s="1" t="s">
        <v>4</v>
      </c>
      <c r="C59" t="s">
        <v>5</v>
      </c>
      <c r="D59" t="s">
        <v>238</v>
      </c>
      <c r="E59" t="s">
        <v>6</v>
      </c>
      <c r="F59" t="s">
        <v>7</v>
      </c>
      <c r="G59" t="s">
        <v>8</v>
      </c>
      <c r="H59" t="s">
        <v>10</v>
      </c>
      <c r="I59" t="s">
        <v>11</v>
      </c>
      <c r="J59" t="s">
        <v>590</v>
      </c>
      <c r="K59" s="236"/>
      <c r="L59" s="236"/>
      <c r="M59" s="236"/>
      <c r="N59" s="236"/>
      <c r="O59" s="236"/>
      <c r="P59" s="236"/>
      <c r="Q59" s="236"/>
    </row>
    <row r="60" spans="1:17" ht="107.15" customHeight="1" x14ac:dyDescent="0.35">
      <c r="A60" t="str" cm="1">
        <f t="array" ref="A60">IFERROR(INDEX(_im09[Goal '#], SMALL(IF(_im09[Success Indicator]&lt;&gt; "Removed", ROW(_im09[Goal '#])-ROW(INDEX(_im09[Goal '#],1,1))+1), ROW(1:1))), "") &amp; ""</f>
        <v>9.2</v>
      </c>
      <c r="B60" s="1" t="str" cm="1">
        <f t="array" ref="B60">IFERROR(INDEX(_im09[Success Indicator], SMALL(IF(_im09[Success Indicator]&lt;&gt; "Removed", ROW(_im09[Success Indicator])-ROW(INDEX(_im09[Success Indicator],1,1))+1), ROW(1:1))), "") &amp; ""</f>
        <v>(NEW) Developed a process for the ATI Steering Committee to review, revise and approve the updated ATI Instructional Materials Plan.</v>
      </c>
      <c r="C60" s="1" t="str" cm="1">
        <f t="array" ref="C60">IFERROR(INDEX(_im09[Department Stakeholder?], SMALL(IF(_im09[Success Indicator]&lt;&gt; "Removed", ROW(_im09[Department Stakeholder?])-ROW(INDEX(_im09[Department Stakeholder?],1,1))+1), ROW(1:1))), "") &amp; ""</f>
        <v>ATI Executive Sponsor</v>
      </c>
      <c r="D60" t="str" cm="1">
        <f t="array" ref="D60">IFERROR(INDEX(_im09[2021 Status], SMALL(IF(_im09[Success Indicator]&lt;&gt; "Removed", ROW(_im09[2021 Status])-ROW(INDEX(_im09[2021 Status],1,1))+1), ROW(1:1))), "") &amp; ""</f>
        <v>Established</v>
      </c>
      <c r="E60" s="1" t="str" cm="1">
        <f t="array" ref="E60">IFERROR(INDEX(_im09[2021 Evidence], SMALL(IF(_im09[Success Indicator]&lt;&gt; "Removed", ROW(_im09[2021 Evidence])-ROW(INDEX(_im09[2021 Evidence],1,1))+1), ROW(1:1))), "") &amp; ""</f>
        <v>ATI Executive Sponsor Instructional Materials working group meets twice a year to update and provide input on ATI plan for IM. Meeting notes are on file share (Box\ATI\Admin\Steering Committee).</v>
      </c>
      <c r="F60" s="1"/>
      <c r="G60" t="s">
        <v>15</v>
      </c>
      <c r="I60" t="s">
        <v>16</v>
      </c>
      <c r="J60" s="188">
        <f>IF(ISBLANK(_im09_gap[[#This Row],[2023 Status]]), "2023 Status Empty",
IF(_im09_gap[[#This Row],[2023 Status]] = "Not Started", -5,
IFERROR(
    IF(VLOOKUP(_im09_gap[[#This Row],[2021 Status]], _statuses[Status Level]:_statuses[Status Value], 7, FALSE) &gt; VLOOKUP(_im09_gap[[#This Row],[2023 Status]], _statuses[Status Level]:_statuses[Status Value], 7, FALSE),
    -ABS(VLOOKUP(_im09_gap[[#This Row],[2021 Status]], _statuses[Status Level]:_statuses[Status Value], 7, FALSE) - VLOOKUP(_im09_gap[[#This Row],[2023 Status]], _statuses[Status Level]:_statuses[Status Value], 7, FALSE)),
    ABS(VLOOKUP(_im09_gap[[#This Row],[2021 Status]], _statuses[Status Level]:_statuses[Status Value], 7, FALSE) - VLOOKUP(_im09_gap[[#This Row],[2023 Status]], _statuses[Status Level]:_statuses[Status Value], 7, FALSE))),
"Error in Calculation")
))</f>
        <v>-5</v>
      </c>
      <c r="K60" s="236"/>
      <c r="L60" s="236"/>
      <c r="M60" s="236"/>
      <c r="N60" s="236"/>
      <c r="O60" s="236"/>
      <c r="P60" s="236"/>
      <c r="Q60" s="236"/>
    </row>
    <row r="61" spans="1:17" ht="58.5" thickBot="1" x14ac:dyDescent="0.4">
      <c r="A61" t="str" cm="1">
        <f t="array" ref="A61">IFERROR(INDEX(_im09[Goal '#], SMALL(IF(_im09[Success Indicator]&lt;&gt; "Removed", ROW(_im09[Goal '#])-ROW(INDEX(_im09[Goal '#],1,1))+1), ROW(2:2))), "") &amp; ""</f>
        <v>9.3</v>
      </c>
      <c r="B61" s="1" t="str" cm="1">
        <f t="array" ref="B61">IFERROR(INDEX(_im09[Success Indicator], SMALL(IF(_im09[Success Indicator]&lt;&gt; "Removed", ROW(_im09[Success Indicator])-ROW(INDEX(_im09[Success Indicator],1,1))+1), ROW(2:2))), "") &amp; ""</f>
        <v>(NEW) Developed a process for the instructional materials subcommittee to inform the revision and coordinate the implementation of the Annual Instructional Materials Plan.</v>
      </c>
      <c r="C61" s="1" t="str" cm="1">
        <f t="array" ref="C61">IFERROR(INDEX(_im09[Department Stakeholder?], SMALL(IF(_im09[Success Indicator]&lt;&gt; "Removed", ROW(_im09[Department Stakeholder?])-ROW(INDEX(_im09[Department Stakeholder?],1,1))+1), ROW(2:2))), "") &amp; ""</f>
        <v>ATI Executive Sponsor</v>
      </c>
      <c r="D61" t="str" cm="1">
        <f t="array" ref="D61">IFERROR(INDEX(_im09[2021 Status], SMALL(IF(_im09[Success Indicator]&lt;&gt; "Removed", ROW(_im09[2021 Status])-ROW(INDEX(_im09[2021 Status],1,1))+1), ROW(2:2))), "") &amp; ""</f>
        <v>Established</v>
      </c>
      <c r="E61" s="161" t="str" cm="1">
        <f t="array" ref="E61">IFERROR(INDEX(_im09[2021 Evidence], SMALL(IF(_im09[Success Indicator]&lt;&gt; "Removed", ROW(_im09[2021 Evidence])-ROW(INDEX(_im09[2021 Evidence],1,1))+1), ROW(2:2))), "") &amp; ""</f>
        <v>ATI Executive Sponsor Instructional Materials working group meets twice a year to update and provide input on ATI plan for IM. Meeting notes are on file share (Box\ATI\Admin\Steering Committee).</v>
      </c>
      <c r="F61" s="1"/>
      <c r="G61" t="s">
        <v>15</v>
      </c>
      <c r="I61" t="s">
        <v>16</v>
      </c>
      <c r="J61" s="189">
        <f>IF(ISBLANK(_im09_gap[[#This Row],[2023 Status]]), "2023 Status Empty",
IF(_im09_gap[[#This Row],[2023 Status]] = "Not Started", -5,
IFERROR(
    IF(VLOOKUP(_im09_gap[[#This Row],[2021 Status]], _statuses[Status Level]:_statuses[Status Value], 7, FALSE) &gt; VLOOKUP(_im09_gap[[#This Row],[2023 Status]], _statuses[Status Level]:_statuses[Status Value], 7, FALSE),
    -ABS(VLOOKUP(_im09_gap[[#This Row],[2021 Status]], _statuses[Status Level]:_statuses[Status Value], 7, FALSE) - VLOOKUP(_im09_gap[[#This Row],[2023 Status]], _statuses[Status Level]:_statuses[Status Value], 7, FALSE)),
    ABS(VLOOKUP(_im09_gap[[#This Row],[2021 Status]], _statuses[Status Level]:_statuses[Status Value], 7, FALSE) - VLOOKUP(_im09_gap[[#This Row],[2023 Status]], _statuses[Status Level]:_statuses[Status Value], 7, FALSE))),
"Error in Calculation")
))</f>
        <v>-5</v>
      </c>
      <c r="K61" s="236"/>
      <c r="L61" s="236"/>
      <c r="M61" s="236"/>
      <c r="N61" s="236"/>
      <c r="O61" s="236"/>
      <c r="P61" s="236"/>
      <c r="Q61" s="236"/>
    </row>
    <row r="62" spans="1:17" x14ac:dyDescent="0.35">
      <c r="A62" s="236"/>
      <c r="B62" s="197"/>
      <c r="C62" s="197"/>
      <c r="D62" s="236"/>
      <c r="E62" s="197"/>
      <c r="F62" s="197"/>
      <c r="G62" s="236"/>
      <c r="H62" s="236"/>
      <c r="I62" s="236"/>
      <c r="J62" s="236"/>
      <c r="K62" s="236"/>
      <c r="L62" s="236"/>
      <c r="M62" s="236"/>
      <c r="N62" s="236"/>
      <c r="O62" s="236"/>
      <c r="P62" s="236"/>
      <c r="Q62" s="236"/>
    </row>
    <row r="63" spans="1:17" ht="58" customHeight="1" x14ac:dyDescent="0.35">
      <c r="A63" s="236"/>
      <c r="B63" s="197"/>
      <c r="C63" s="197"/>
      <c r="D63" s="236"/>
      <c r="E63" s="197"/>
      <c r="F63" s="197"/>
      <c r="G63" s="236"/>
      <c r="H63" s="236"/>
      <c r="I63" s="236"/>
      <c r="J63" s="236"/>
      <c r="K63" s="236"/>
      <c r="L63" s="236"/>
      <c r="M63" s="236"/>
      <c r="N63" s="236"/>
      <c r="O63" s="236"/>
      <c r="P63" s="236"/>
      <c r="Q63" s="236"/>
    </row>
    <row r="64" spans="1:17" x14ac:dyDescent="0.35">
      <c r="A64" s="236"/>
      <c r="B64" s="197"/>
      <c r="C64" s="197"/>
      <c r="D64" s="236"/>
      <c r="E64" s="197"/>
      <c r="F64" s="197"/>
      <c r="G64" s="236"/>
      <c r="H64" s="236"/>
      <c r="I64" s="236"/>
      <c r="J64" s="236"/>
      <c r="K64" s="236"/>
      <c r="L64" s="236"/>
      <c r="M64" s="236"/>
      <c r="N64" s="236"/>
      <c r="O64" s="236"/>
      <c r="P64" s="236"/>
      <c r="Q64" s="236"/>
    </row>
    <row r="65" spans="1:17" x14ac:dyDescent="0.35">
      <c r="A65" s="236"/>
      <c r="B65" s="197"/>
      <c r="C65" s="197"/>
      <c r="D65" s="236"/>
      <c r="E65" s="197"/>
      <c r="F65" s="197"/>
      <c r="G65" s="236"/>
      <c r="H65" s="236"/>
      <c r="I65" s="236"/>
      <c r="J65" s="236"/>
      <c r="K65" s="236"/>
      <c r="L65" s="236"/>
      <c r="M65" s="236"/>
      <c r="N65" s="236"/>
      <c r="O65" s="236"/>
      <c r="P65" s="236"/>
      <c r="Q65" s="236"/>
    </row>
    <row r="66" spans="1:17" x14ac:dyDescent="0.35">
      <c r="A66" s="236"/>
      <c r="B66" s="197"/>
      <c r="C66" s="197"/>
      <c r="D66" s="236"/>
      <c r="E66" s="197"/>
      <c r="F66" s="197"/>
      <c r="G66" s="236"/>
      <c r="H66" s="236"/>
      <c r="I66" s="236"/>
      <c r="J66" s="236"/>
      <c r="K66" s="236"/>
      <c r="L66" s="236"/>
      <c r="M66" s="236"/>
      <c r="N66" s="236"/>
      <c r="O66" s="236"/>
      <c r="P66" s="236"/>
      <c r="Q66" s="236"/>
    </row>
    <row r="67" spans="1:17" x14ac:dyDescent="0.35">
      <c r="A67" s="236"/>
      <c r="B67" s="197"/>
      <c r="C67" s="197"/>
      <c r="D67" s="236"/>
      <c r="E67" s="197"/>
      <c r="F67" s="197"/>
      <c r="G67" s="236"/>
      <c r="H67" s="236"/>
      <c r="I67" s="236"/>
      <c r="J67" s="236"/>
      <c r="K67" s="236"/>
      <c r="L67" s="236"/>
      <c r="M67" s="236"/>
      <c r="N67" s="236"/>
      <c r="O67" s="236"/>
      <c r="P67" s="236"/>
      <c r="Q67" s="236"/>
    </row>
    <row r="68" spans="1:17" x14ac:dyDescent="0.35">
      <c r="A68" s="236"/>
      <c r="B68" s="197"/>
      <c r="C68" s="197"/>
      <c r="D68" s="236"/>
      <c r="E68" s="197"/>
      <c r="F68" s="197"/>
      <c r="G68" s="236"/>
      <c r="H68" s="236"/>
      <c r="I68" s="236"/>
      <c r="J68" s="236"/>
      <c r="K68" s="236"/>
      <c r="L68" s="236"/>
      <c r="M68" s="236"/>
      <c r="N68" s="236"/>
      <c r="O68" s="236"/>
      <c r="P68" s="236"/>
      <c r="Q68" s="236"/>
    </row>
    <row r="69" spans="1:17" x14ac:dyDescent="0.35">
      <c r="A69" s="236"/>
      <c r="B69" s="197"/>
      <c r="C69" s="197"/>
      <c r="D69" s="236"/>
      <c r="E69" s="197"/>
      <c r="F69" s="197"/>
      <c r="G69" s="236"/>
      <c r="H69" s="236"/>
      <c r="I69" s="236"/>
      <c r="J69" s="236"/>
      <c r="K69" s="236"/>
      <c r="L69" s="236"/>
      <c r="M69" s="236"/>
      <c r="N69" s="236"/>
      <c r="O69" s="236"/>
      <c r="P69" s="236"/>
      <c r="Q69" s="236"/>
    </row>
    <row r="70" spans="1:17" x14ac:dyDescent="0.35">
      <c r="A70" s="236"/>
      <c r="B70" s="197"/>
      <c r="C70" s="197"/>
      <c r="D70" s="236"/>
      <c r="E70" s="197"/>
      <c r="F70" s="197"/>
      <c r="G70" s="236"/>
      <c r="H70" s="236"/>
      <c r="I70" s="236"/>
      <c r="J70" s="236"/>
      <c r="K70" s="236"/>
      <c r="L70" s="236"/>
      <c r="M70" s="236"/>
      <c r="N70" s="236"/>
      <c r="O70" s="236"/>
      <c r="P70" s="236"/>
      <c r="Q70" s="236"/>
    </row>
    <row r="71" spans="1:17" x14ac:dyDescent="0.35">
      <c r="A71" s="236"/>
      <c r="B71" s="197"/>
      <c r="C71" s="197"/>
      <c r="D71" s="236"/>
      <c r="E71" s="197"/>
      <c r="F71" s="197"/>
      <c r="G71" s="236"/>
      <c r="H71" s="236"/>
      <c r="I71" s="236"/>
      <c r="J71" s="236"/>
      <c r="K71" s="236"/>
      <c r="L71" s="236"/>
      <c r="M71" s="236"/>
      <c r="N71" s="236"/>
      <c r="O71" s="236"/>
      <c r="P71" s="236"/>
      <c r="Q71" s="236"/>
    </row>
    <row r="72" spans="1:17" x14ac:dyDescent="0.35">
      <c r="A72" s="236"/>
      <c r="B72" s="197"/>
      <c r="C72" s="197"/>
      <c r="D72" s="236"/>
      <c r="E72" s="197"/>
      <c r="F72" s="197"/>
      <c r="G72" s="236"/>
      <c r="H72" s="236"/>
      <c r="I72" s="236"/>
      <c r="J72" s="236"/>
      <c r="K72" s="236"/>
      <c r="L72" s="236"/>
      <c r="M72" s="236"/>
      <c r="N72" s="236"/>
      <c r="O72" s="236"/>
      <c r="P72" s="236"/>
      <c r="Q72" s="236"/>
    </row>
    <row r="73" spans="1:17" x14ac:dyDescent="0.35">
      <c r="A73" s="236"/>
      <c r="B73" s="197"/>
      <c r="C73" s="197"/>
      <c r="D73" s="236"/>
      <c r="E73" s="197"/>
      <c r="F73" s="197"/>
      <c r="G73" s="236"/>
      <c r="H73" s="236"/>
      <c r="I73" s="236"/>
      <c r="J73" s="236"/>
      <c r="K73" s="236"/>
      <c r="L73" s="236"/>
      <c r="M73" s="236"/>
      <c r="N73" s="236"/>
      <c r="O73" s="236"/>
      <c r="P73" s="236"/>
      <c r="Q73" s="236"/>
    </row>
    <row r="74" spans="1:17" x14ac:dyDescent="0.35">
      <c r="A74" s="236"/>
      <c r="B74" s="197"/>
      <c r="C74" s="197"/>
      <c r="D74" s="236"/>
      <c r="E74" s="197"/>
      <c r="F74" s="197"/>
      <c r="G74" s="236"/>
      <c r="H74" s="236"/>
      <c r="I74" s="236"/>
      <c r="J74" s="236"/>
      <c r="K74" s="236"/>
      <c r="L74" s="236"/>
      <c r="M74" s="236"/>
      <c r="N74" s="236"/>
      <c r="O74" s="236"/>
      <c r="P74" s="236"/>
      <c r="Q74" s="236"/>
    </row>
    <row r="75" spans="1:17" x14ac:dyDescent="0.35">
      <c r="A75" s="236"/>
      <c r="B75" s="197"/>
      <c r="C75" s="197"/>
      <c r="D75" s="236"/>
      <c r="E75" s="197"/>
      <c r="F75" s="197"/>
      <c r="G75" s="236"/>
      <c r="H75" s="236"/>
      <c r="I75" s="236"/>
      <c r="J75" s="236"/>
      <c r="K75" s="236"/>
      <c r="L75" s="236"/>
      <c r="M75" s="236"/>
      <c r="N75" s="236"/>
      <c r="O75" s="236"/>
      <c r="P75" s="236"/>
      <c r="Q75" s="236"/>
    </row>
    <row r="76" spans="1:17" x14ac:dyDescent="0.35">
      <c r="A76" s="236"/>
      <c r="B76" s="197"/>
      <c r="C76" s="197"/>
      <c r="D76" s="236"/>
      <c r="E76" s="197"/>
      <c r="F76" s="197"/>
      <c r="G76" s="236"/>
      <c r="H76" s="236"/>
      <c r="I76" s="236"/>
      <c r="J76" s="236"/>
      <c r="K76" s="236"/>
      <c r="L76" s="236"/>
      <c r="M76" s="236"/>
      <c r="N76" s="236"/>
      <c r="O76" s="236"/>
      <c r="P76" s="236"/>
      <c r="Q76" s="236"/>
    </row>
    <row r="77" spans="1:17" x14ac:dyDescent="0.35">
      <c r="A77" s="236"/>
      <c r="B77" s="197"/>
      <c r="C77" s="197"/>
      <c r="D77" s="236"/>
      <c r="E77" s="197"/>
      <c r="F77" s="197"/>
      <c r="G77" s="236"/>
      <c r="H77" s="236"/>
      <c r="I77" s="236"/>
      <c r="J77" s="236"/>
      <c r="K77" s="236"/>
      <c r="L77" s="236"/>
      <c r="M77" s="236"/>
      <c r="N77" s="236"/>
      <c r="O77" s="236"/>
      <c r="P77" s="236"/>
      <c r="Q77" s="236"/>
    </row>
    <row r="78" spans="1:17" x14ac:dyDescent="0.35">
      <c r="A78" s="236"/>
      <c r="B78" s="197"/>
      <c r="C78" s="236"/>
      <c r="D78" s="236"/>
      <c r="E78" s="236"/>
      <c r="F78" s="236"/>
      <c r="G78" s="236"/>
      <c r="H78" s="236"/>
      <c r="I78" s="236"/>
      <c r="J78" s="236"/>
      <c r="K78" s="236"/>
      <c r="L78" s="236"/>
      <c r="M78" s="236"/>
      <c r="N78" s="236"/>
      <c r="O78" s="236"/>
      <c r="P78" s="236"/>
      <c r="Q78" s="236"/>
    </row>
    <row r="79" spans="1:17" x14ac:dyDescent="0.35">
      <c r="A79" s="236"/>
      <c r="B79" s="197"/>
      <c r="C79" s="236"/>
      <c r="D79" s="236"/>
      <c r="E79" s="236"/>
      <c r="F79" s="236"/>
      <c r="G79" s="236"/>
      <c r="H79" s="236"/>
      <c r="I79" s="236"/>
      <c r="J79" s="236"/>
      <c r="K79" s="236"/>
      <c r="L79" s="236"/>
      <c r="M79" s="236"/>
      <c r="N79" s="236"/>
      <c r="O79" s="236"/>
      <c r="P79" s="236"/>
      <c r="Q79" s="236"/>
    </row>
    <row r="80" spans="1:17" x14ac:dyDescent="0.35">
      <c r="A80" s="236"/>
      <c r="B80" s="197"/>
      <c r="C80" s="236"/>
      <c r="D80" s="236"/>
      <c r="E80" s="236"/>
      <c r="F80" s="236"/>
      <c r="G80" s="236"/>
      <c r="H80" s="236"/>
      <c r="I80" s="236"/>
      <c r="J80" s="236"/>
      <c r="K80" s="236"/>
      <c r="L80" s="236"/>
      <c r="M80" s="236"/>
      <c r="N80" s="236"/>
      <c r="O80" s="236"/>
      <c r="P80" s="236"/>
      <c r="Q80" s="236"/>
    </row>
    <row r="81" spans="1:17" x14ac:dyDescent="0.35">
      <c r="A81" s="236"/>
      <c r="B81" s="197"/>
      <c r="C81" s="236"/>
      <c r="D81" s="236"/>
      <c r="E81" s="236"/>
      <c r="F81" s="236"/>
      <c r="G81" s="236"/>
      <c r="H81" s="236"/>
      <c r="I81" s="236"/>
      <c r="J81" s="236"/>
      <c r="K81" s="236"/>
      <c r="L81" s="236"/>
      <c r="M81" s="236"/>
      <c r="N81" s="236"/>
      <c r="O81" s="236"/>
      <c r="P81" s="236"/>
      <c r="Q81" s="236"/>
    </row>
    <row r="82" spans="1:17" x14ac:dyDescent="0.35">
      <c r="A82" s="236"/>
      <c r="B82" s="197"/>
      <c r="C82" s="236"/>
      <c r="D82" s="236"/>
      <c r="E82" s="236"/>
      <c r="F82" s="236"/>
      <c r="G82" s="236"/>
      <c r="H82" s="236"/>
      <c r="I82" s="236"/>
      <c r="J82" s="236"/>
      <c r="K82" s="236"/>
      <c r="L82" s="236"/>
      <c r="M82" s="236"/>
      <c r="N82" s="236"/>
      <c r="O82" s="236"/>
      <c r="P82" s="236"/>
      <c r="Q82" s="236"/>
    </row>
    <row r="83" spans="1:17" x14ac:dyDescent="0.35">
      <c r="A83" s="236"/>
      <c r="B83" s="197"/>
      <c r="C83" s="236"/>
      <c r="D83" s="236"/>
      <c r="E83" s="236"/>
      <c r="F83" s="236"/>
      <c r="G83" s="236"/>
      <c r="H83" s="236"/>
      <c r="I83" s="236"/>
      <c r="J83" s="236"/>
      <c r="K83" s="236"/>
      <c r="L83" s="236"/>
      <c r="M83" s="236"/>
      <c r="N83" s="236"/>
      <c r="O83" s="236"/>
      <c r="P83" s="236"/>
      <c r="Q83" s="236"/>
    </row>
    <row r="84" spans="1:17" x14ac:dyDescent="0.35">
      <c r="A84" s="236"/>
      <c r="B84" s="197"/>
      <c r="C84" s="236"/>
      <c r="D84" s="236"/>
      <c r="E84" s="236"/>
      <c r="F84" s="236"/>
      <c r="G84" s="236"/>
      <c r="H84" s="236"/>
      <c r="I84" s="236"/>
      <c r="J84" s="236"/>
      <c r="K84" s="236"/>
      <c r="L84" s="236"/>
      <c r="M84" s="236"/>
      <c r="N84" s="236"/>
      <c r="O84" s="236"/>
      <c r="P84" s="236"/>
      <c r="Q84" s="236"/>
    </row>
    <row r="85" spans="1:17" x14ac:dyDescent="0.35">
      <c r="A85" s="236"/>
      <c r="B85" s="197"/>
      <c r="C85" s="236"/>
      <c r="D85" s="236"/>
      <c r="E85" s="236"/>
      <c r="F85" s="236"/>
      <c r="G85" s="236"/>
      <c r="H85" s="236"/>
      <c r="I85" s="236"/>
      <c r="J85" s="236"/>
      <c r="K85" s="236"/>
      <c r="L85" s="236"/>
      <c r="M85" s="236"/>
      <c r="N85" s="236"/>
      <c r="O85" s="236"/>
      <c r="P85" s="236"/>
      <c r="Q85" s="236"/>
    </row>
    <row r="86" spans="1:17" x14ac:dyDescent="0.35">
      <c r="A86" s="236"/>
      <c r="B86" s="197"/>
      <c r="C86" s="236"/>
      <c r="D86" s="236"/>
      <c r="E86" s="236"/>
      <c r="F86" s="236"/>
      <c r="G86" s="236"/>
      <c r="H86" s="236"/>
      <c r="I86" s="236"/>
      <c r="J86" s="236"/>
      <c r="K86" s="236"/>
      <c r="L86" s="236"/>
      <c r="M86" s="236"/>
      <c r="N86" s="236"/>
      <c r="O86" s="236"/>
      <c r="P86" s="236"/>
      <c r="Q86" s="236"/>
    </row>
    <row r="87" spans="1:17" x14ac:dyDescent="0.35">
      <c r="A87" s="236"/>
      <c r="B87" s="197"/>
      <c r="C87" s="236"/>
      <c r="D87" s="236"/>
      <c r="E87" s="236"/>
      <c r="F87" s="236"/>
      <c r="G87" s="236"/>
      <c r="H87" s="236"/>
      <c r="I87" s="236"/>
      <c r="J87" s="236"/>
      <c r="K87" s="236"/>
      <c r="L87" s="236"/>
      <c r="M87" s="236"/>
      <c r="N87" s="236"/>
      <c r="O87" s="236"/>
      <c r="P87" s="236"/>
      <c r="Q87" s="236"/>
    </row>
    <row r="88" spans="1:17" x14ac:dyDescent="0.35">
      <c r="A88" s="236"/>
      <c r="B88" s="197"/>
      <c r="C88" s="236"/>
      <c r="D88" s="236"/>
      <c r="E88" s="236"/>
      <c r="F88" s="236"/>
      <c r="G88" s="236"/>
      <c r="H88" s="236"/>
      <c r="I88" s="236"/>
      <c r="J88" s="236"/>
      <c r="K88" s="236"/>
      <c r="L88" s="236"/>
      <c r="M88" s="236"/>
      <c r="N88" s="236"/>
      <c r="O88" s="236"/>
      <c r="P88" s="236"/>
      <c r="Q88" s="236"/>
    </row>
    <row r="89" spans="1:17" x14ac:dyDescent="0.35">
      <c r="A89" s="236"/>
      <c r="B89" s="197"/>
      <c r="C89" s="236"/>
      <c r="D89" s="236"/>
      <c r="E89" s="236"/>
      <c r="F89" s="236"/>
      <c r="G89" s="236"/>
      <c r="H89" s="236"/>
      <c r="I89" s="236"/>
      <c r="J89" s="236"/>
      <c r="K89" s="236"/>
      <c r="L89" s="236"/>
      <c r="M89" s="236"/>
      <c r="N89" s="236"/>
      <c r="O89" s="236"/>
      <c r="P89" s="236"/>
      <c r="Q89" s="236"/>
    </row>
    <row r="90" spans="1:17" x14ac:dyDescent="0.35">
      <c r="A90" s="236"/>
      <c r="B90" s="197"/>
      <c r="C90" s="236"/>
      <c r="D90" s="236"/>
      <c r="E90" s="236"/>
      <c r="F90" s="236"/>
      <c r="G90" s="236"/>
      <c r="H90" s="236"/>
      <c r="I90" s="236"/>
      <c r="J90" s="236"/>
      <c r="K90" s="236"/>
      <c r="L90" s="236"/>
      <c r="M90" s="236"/>
      <c r="N90" s="236"/>
      <c r="O90" s="236"/>
      <c r="P90" s="236"/>
      <c r="Q90" s="236"/>
    </row>
    <row r="91" spans="1:17" x14ac:dyDescent="0.35">
      <c r="A91" s="236"/>
      <c r="B91" s="197"/>
      <c r="C91" s="236"/>
      <c r="D91" s="236"/>
      <c r="E91" s="236"/>
      <c r="F91" s="236"/>
      <c r="G91" s="236"/>
      <c r="H91" s="236"/>
      <c r="I91" s="236"/>
      <c r="J91" s="236"/>
      <c r="K91" s="236"/>
      <c r="L91" s="236"/>
      <c r="M91" s="236"/>
      <c r="N91" s="236"/>
      <c r="O91" s="236"/>
      <c r="P91" s="236"/>
      <c r="Q91" s="236"/>
    </row>
    <row r="92" spans="1:17" x14ac:dyDescent="0.35">
      <c r="A92" s="236"/>
      <c r="B92" s="197"/>
      <c r="C92" s="236"/>
      <c r="D92" s="236"/>
      <c r="E92" s="236"/>
      <c r="F92" s="236"/>
      <c r="G92" s="236"/>
      <c r="H92" s="236"/>
      <c r="I92" s="236"/>
      <c r="J92" s="236"/>
      <c r="K92" s="236"/>
      <c r="L92" s="236"/>
      <c r="M92" s="236"/>
      <c r="N92" s="236"/>
      <c r="O92" s="236"/>
      <c r="P92" s="236"/>
      <c r="Q92" s="236"/>
    </row>
    <row r="93" spans="1:17" x14ac:dyDescent="0.35">
      <c r="A93" s="236"/>
      <c r="B93" s="197"/>
      <c r="C93" s="236"/>
      <c r="D93" s="236"/>
      <c r="E93" s="236"/>
      <c r="F93" s="236"/>
      <c r="G93" s="236"/>
      <c r="H93" s="236"/>
      <c r="I93" s="236"/>
      <c r="J93" s="236"/>
      <c r="K93" s="236"/>
      <c r="L93" s="236"/>
      <c r="M93" s="236"/>
      <c r="N93" s="236"/>
      <c r="O93" s="236"/>
      <c r="P93" s="236"/>
      <c r="Q93" s="236"/>
    </row>
    <row r="94" spans="1:17" x14ac:dyDescent="0.35">
      <c r="A94" s="236"/>
      <c r="B94" s="197"/>
      <c r="C94" s="236"/>
      <c r="D94" s="236"/>
      <c r="E94" s="236"/>
      <c r="F94" s="236"/>
      <c r="G94" s="236"/>
      <c r="H94" s="236"/>
      <c r="I94" s="236"/>
      <c r="J94" s="236"/>
      <c r="K94" s="236"/>
      <c r="L94" s="236"/>
      <c r="M94" s="236"/>
      <c r="N94" s="236"/>
      <c r="O94" s="236"/>
      <c r="P94" s="236"/>
      <c r="Q94" s="236"/>
    </row>
    <row r="95" spans="1:17" x14ac:dyDescent="0.35">
      <c r="A95" s="236"/>
      <c r="B95" s="197"/>
      <c r="C95" s="236"/>
      <c r="D95" s="236"/>
      <c r="E95" s="236"/>
      <c r="F95" s="236"/>
      <c r="G95" s="236"/>
      <c r="H95" s="236"/>
      <c r="I95" s="236"/>
      <c r="J95" s="236"/>
      <c r="K95" s="236"/>
      <c r="L95" s="236"/>
      <c r="M95" s="236"/>
      <c r="N95" s="236"/>
      <c r="O95" s="236"/>
      <c r="P95" s="236"/>
      <c r="Q95" s="236"/>
    </row>
    <row r="96" spans="1:17" x14ac:dyDescent="0.35">
      <c r="A96" s="236"/>
      <c r="B96" s="197"/>
      <c r="C96" s="236"/>
      <c r="D96" s="236"/>
      <c r="E96" s="236"/>
      <c r="F96" s="236"/>
      <c r="G96" s="236"/>
      <c r="H96" s="236"/>
      <c r="I96" s="236"/>
      <c r="J96" s="236"/>
      <c r="K96" s="236"/>
      <c r="L96" s="236"/>
      <c r="M96" s="236"/>
      <c r="N96" s="236"/>
      <c r="O96" s="236"/>
      <c r="P96" s="236"/>
      <c r="Q96" s="236"/>
    </row>
    <row r="97" spans="1:17" x14ac:dyDescent="0.35">
      <c r="A97" s="236"/>
      <c r="B97" s="197"/>
      <c r="C97" s="236"/>
      <c r="D97" s="236"/>
      <c r="E97" s="236"/>
      <c r="F97" s="236"/>
      <c r="G97" s="236"/>
      <c r="H97" s="236"/>
      <c r="I97" s="236"/>
      <c r="J97" s="236"/>
      <c r="K97" s="236"/>
      <c r="L97" s="236"/>
      <c r="M97" s="236"/>
      <c r="N97" s="236"/>
      <c r="O97" s="236"/>
      <c r="P97" s="236"/>
      <c r="Q97" s="236"/>
    </row>
    <row r="98" spans="1:17" x14ac:dyDescent="0.35">
      <c r="A98" s="236"/>
      <c r="B98" s="197"/>
      <c r="C98" s="236"/>
      <c r="D98" s="236"/>
      <c r="E98" s="236"/>
      <c r="F98" s="236"/>
      <c r="G98" s="236"/>
      <c r="H98" s="236"/>
      <c r="I98" s="236"/>
      <c r="J98" s="236"/>
      <c r="K98" s="236"/>
      <c r="L98" s="236"/>
      <c r="M98" s="236"/>
      <c r="N98" s="236"/>
      <c r="O98" s="236"/>
      <c r="P98" s="236"/>
      <c r="Q98" s="236"/>
    </row>
    <row r="99" spans="1:17" x14ac:dyDescent="0.35">
      <c r="A99" s="236"/>
      <c r="B99" s="197"/>
      <c r="C99" s="236"/>
      <c r="D99" s="236"/>
      <c r="E99" s="236"/>
      <c r="F99" s="236"/>
      <c r="G99" s="236"/>
      <c r="H99" s="236"/>
      <c r="I99" s="236"/>
      <c r="J99" s="236"/>
      <c r="K99" s="236"/>
      <c r="L99" s="236"/>
      <c r="M99" s="236"/>
      <c r="N99" s="236"/>
      <c r="O99" s="236"/>
      <c r="P99" s="236"/>
      <c r="Q99" s="236"/>
    </row>
    <row r="100" spans="1:17" x14ac:dyDescent="0.35">
      <c r="A100" s="236"/>
      <c r="B100" s="197"/>
      <c r="C100" s="236"/>
      <c r="D100" s="236"/>
      <c r="E100" s="236"/>
      <c r="F100" s="236"/>
      <c r="G100" s="236"/>
      <c r="H100" s="236"/>
      <c r="I100" s="236"/>
      <c r="J100" s="236"/>
      <c r="K100" s="236"/>
      <c r="L100" s="236"/>
      <c r="M100" s="236"/>
      <c r="N100" s="236"/>
      <c r="O100" s="236"/>
      <c r="P100" s="236"/>
      <c r="Q100" s="236"/>
    </row>
    <row r="101" spans="1:17" x14ac:dyDescent="0.35">
      <c r="A101" s="236"/>
      <c r="B101" s="197"/>
      <c r="C101" s="236"/>
      <c r="D101" s="236"/>
      <c r="E101" s="236"/>
      <c r="F101" s="236"/>
      <c r="G101" s="236"/>
      <c r="H101" s="236"/>
      <c r="I101" s="236"/>
      <c r="J101" s="236"/>
      <c r="K101" s="236"/>
      <c r="L101" s="236"/>
      <c r="M101" s="236"/>
      <c r="N101" s="236"/>
      <c r="O101" s="236"/>
      <c r="P101" s="236"/>
      <c r="Q101" s="236"/>
    </row>
    <row r="102" spans="1:17" x14ac:dyDescent="0.35">
      <c r="A102" s="236"/>
      <c r="B102" s="197"/>
      <c r="C102" s="236"/>
      <c r="D102" s="236"/>
      <c r="E102" s="236"/>
      <c r="F102" s="236"/>
      <c r="G102" s="236"/>
      <c r="H102" s="236"/>
      <c r="I102" s="236"/>
      <c r="J102" s="236"/>
      <c r="K102" s="236"/>
      <c r="L102" s="236"/>
      <c r="M102" s="236"/>
      <c r="N102" s="236"/>
      <c r="O102" s="236"/>
      <c r="P102" s="236"/>
      <c r="Q102" s="236"/>
    </row>
    <row r="103" spans="1:17" x14ac:dyDescent="0.35">
      <c r="A103" s="236"/>
      <c r="B103" s="197"/>
      <c r="C103" s="236"/>
      <c r="D103" s="236"/>
      <c r="E103" s="236"/>
      <c r="F103" s="236"/>
      <c r="G103" s="236"/>
      <c r="H103" s="236"/>
      <c r="I103" s="236"/>
      <c r="J103" s="236"/>
      <c r="K103" s="236"/>
      <c r="L103" s="236"/>
      <c r="M103" s="236"/>
      <c r="N103" s="236"/>
      <c r="O103" s="236"/>
      <c r="P103" s="236"/>
      <c r="Q103" s="236"/>
    </row>
    <row r="104" spans="1:17" x14ac:dyDescent="0.35">
      <c r="A104" s="236"/>
      <c r="B104" s="197"/>
      <c r="C104" s="236"/>
      <c r="D104" s="236"/>
      <c r="E104" s="236"/>
      <c r="F104" s="236"/>
      <c r="G104" s="236"/>
      <c r="H104" s="236"/>
      <c r="I104" s="236"/>
      <c r="J104" s="236"/>
      <c r="K104" s="236"/>
      <c r="L104" s="236"/>
      <c r="M104" s="236"/>
      <c r="N104" s="236"/>
      <c r="O104" s="236"/>
      <c r="P104" s="236"/>
      <c r="Q104" s="236"/>
    </row>
    <row r="105" spans="1:17" x14ac:dyDescent="0.35">
      <c r="A105" s="236"/>
      <c r="B105" s="197"/>
      <c r="C105" s="236"/>
      <c r="D105" s="236"/>
      <c r="E105" s="236"/>
      <c r="F105" s="236"/>
      <c r="G105" s="236"/>
      <c r="H105" s="236"/>
      <c r="I105" s="236"/>
      <c r="J105" s="236"/>
      <c r="K105" s="236"/>
      <c r="L105" s="236"/>
      <c r="M105" s="236"/>
      <c r="N105" s="236"/>
      <c r="O105" s="236"/>
      <c r="P105" s="236"/>
      <c r="Q105" s="236"/>
    </row>
  </sheetData>
  <phoneticPr fontId="17" type="noConversion"/>
  <conditionalFormatting sqref="J6:J8">
    <cfRule type="colorScale" priority="7">
      <colorScale>
        <cfvo type="num" val="-5"/>
        <cfvo type="num" val="0"/>
        <cfvo type="num" val="5"/>
        <color rgb="FFF8696B"/>
        <color rgb="FFFFEB84"/>
        <color rgb="FF63BE7B"/>
      </colorScale>
    </cfRule>
  </conditionalFormatting>
  <conditionalFormatting sqref="J14:J17">
    <cfRule type="colorScale" priority="6">
      <colorScale>
        <cfvo type="num" val="-5"/>
        <cfvo type="num" val="0"/>
        <cfvo type="num" val="5"/>
        <color rgb="FFF8696B"/>
        <color rgb="FFFFEB84"/>
        <color rgb="FF63BE7B"/>
      </colorScale>
    </cfRule>
  </conditionalFormatting>
  <conditionalFormatting sqref="J23:J28">
    <cfRule type="colorScale" priority="5">
      <colorScale>
        <cfvo type="num" val="-5"/>
        <cfvo type="num" val="0"/>
        <cfvo type="num" val="5"/>
        <color rgb="FFF8696B"/>
        <color rgb="FFFFEB84"/>
        <color rgb="FF63BE7B"/>
      </colorScale>
    </cfRule>
  </conditionalFormatting>
  <conditionalFormatting sqref="J33:J38">
    <cfRule type="colorScale" priority="4">
      <colorScale>
        <cfvo type="num" val="-5"/>
        <cfvo type="num" val="0"/>
        <cfvo type="num" val="5"/>
        <color rgb="FFF8696B"/>
        <color rgb="FFFFEB84"/>
        <color rgb="FF63BE7B"/>
      </colorScale>
    </cfRule>
  </conditionalFormatting>
  <conditionalFormatting sqref="J43:J46">
    <cfRule type="colorScale" priority="3">
      <colorScale>
        <cfvo type="num" val="-5"/>
        <cfvo type="num" val="0"/>
        <cfvo type="num" val="5"/>
        <color rgb="FFF8696B"/>
        <color rgb="FFFFEB84"/>
        <color rgb="FF63BE7B"/>
      </colorScale>
    </cfRule>
  </conditionalFormatting>
  <conditionalFormatting sqref="J50:J55">
    <cfRule type="colorScale" priority="2">
      <colorScale>
        <cfvo type="num" val="-5"/>
        <cfvo type="num" val="0"/>
        <cfvo type="num" val="5"/>
        <color rgb="FFF8696B"/>
        <color rgb="FFFFEB84"/>
        <color rgb="FF63BE7B"/>
      </colorScale>
    </cfRule>
  </conditionalFormatting>
  <conditionalFormatting sqref="J60:J61">
    <cfRule type="colorScale" priority="1">
      <colorScale>
        <cfvo type="num" val="-5"/>
        <cfvo type="num" val="0"/>
        <cfvo type="num" val="5"/>
        <color rgb="FFF8696B"/>
        <color rgb="FFFFEB84"/>
        <color rgb="FF63BE7B"/>
      </colorScale>
    </cfRule>
  </conditionalFormatting>
  <dataValidations count="1">
    <dataValidation type="list" allowBlank="1" showInputMessage="1" showErrorMessage="1" sqref="G6:G8 G14:G19 G23:G28 G33:G38 G43:G46 G50:G55 G60:G61" xr:uid="{40CF72B2-5E95-49AF-B15A-8C7D449D593F}">
      <formula1>Statuses</formula1>
    </dataValidation>
  </dataValidations>
  <pageMargins left="0.7" right="0.7" top="0.75" bottom="0.75" header="0.3" footer="0.3"/>
  <tableParts count="7">
    <tablePart r:id="rId1"/>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852EB-915C-45E4-BB95-BBAA62E0E21A}">
  <dimension ref="A3:J65"/>
  <sheetViews>
    <sheetView topLeftCell="B38" workbookViewId="0">
      <selection activeCell="G42" sqref="G42"/>
    </sheetView>
  </sheetViews>
  <sheetFormatPr defaultRowHeight="14.5" x14ac:dyDescent="0.35"/>
  <cols>
    <col min="1" max="1" width="8.54296875" customWidth="1"/>
    <col min="2" max="2" width="30.7265625" customWidth="1"/>
    <col min="3" max="3" width="27.26953125" customWidth="1"/>
    <col min="4" max="4" width="13.26953125" customWidth="1"/>
    <col min="5" max="5" width="20" customWidth="1"/>
    <col min="6" max="6" width="35.1796875" customWidth="1"/>
    <col min="7" max="7" width="19.453125" customWidth="1"/>
    <col min="8" max="8" width="18.26953125" customWidth="1"/>
    <col min="9" max="9" width="31.1796875" customWidth="1"/>
    <col min="10" max="10" width="26.453125" customWidth="1"/>
  </cols>
  <sheetData>
    <row r="3" spans="1:10" ht="24.65" customHeight="1" x14ac:dyDescent="0.35"/>
    <row r="4" spans="1:10" ht="19" customHeight="1" thickBot="1" x14ac:dyDescent="0.4">
      <c r="A4" t="s">
        <v>3</v>
      </c>
      <c r="B4" s="1" t="s">
        <v>4</v>
      </c>
      <c r="C4" t="s">
        <v>5</v>
      </c>
      <c r="D4" t="s">
        <v>238</v>
      </c>
      <c r="E4" t="s">
        <v>6</v>
      </c>
      <c r="F4" t="s">
        <v>7</v>
      </c>
      <c r="G4" t="s">
        <v>8</v>
      </c>
      <c r="H4" t="s">
        <v>10</v>
      </c>
      <c r="I4" t="s">
        <v>11</v>
      </c>
      <c r="J4" t="s">
        <v>590</v>
      </c>
    </row>
    <row r="5" spans="1:10" ht="121" customHeight="1" x14ac:dyDescent="0.35">
      <c r="A5" s="186" t="str" cm="1">
        <f t="array" ref="A5">IFERROR(INDEX(_web01[Goal '#], SMALL(IF(_web01[Success Indicator]&lt;&gt; "Removed", ROW(_web01[Goal '#])-ROW(INDEX(_web01[Goal '#],1,1))+1), ROW(1:1))), "") &amp; ""</f>
        <v>1.1</v>
      </c>
      <c r="B5" s="1" t="str" cm="1">
        <f t="array" ref="B5">IFERROR(INDEX(_web01[Success Indicator], SMALL(IF(_web01[Success Indicator]&lt;&gt; "Removed", ROW(_web01[Success Indicator])-ROW(INDEX(_web01[Success Indicator],1,1))+1), ROW(1:1))), "") &amp; ""</f>
        <v>Assigned authority and responsibility for the evaluation process to a body (person(s) or business entity).</v>
      </c>
      <c r="C5" s="1" t="str" cm="1">
        <f t="array" ref="C5">IFERROR(INDEX(_web01[Department Stakeholder?], SMALL(IF(_web01[Success Indicator]&lt;&gt; "Removed", ROW(_web01[Department Stakeholder?])-ROW(INDEX(_web01[Department Stakeholder?],1,1))+1), ROW(1:1))), "") &amp; ""</f>
        <v>Web Accessibility Coordinator</v>
      </c>
      <c r="D5" s="1" t="str" cm="1">
        <f t="array" ref="D5">IFERROR(INDEX(_web01[2021 Status], SMALL(IF(_web01[Success Indicator]&lt;&gt; "Removed", ROW(_web01[2021 Status])-ROW(INDEX(_web01[2021 Status],1,1))+1), ROW(1:1))), "") &amp; ""</f>
        <v>Managed</v>
      </c>
      <c r="E5" s="1" t="str" cm="1">
        <f t="array" ref="E5">IFERROR(INDEX(_web01[2021 Evidence], SMALL(IF(_web01[Success Indicator]&lt;&gt; "Removed", ROW(_web01[2021 Evidence])-ROW(INDEX(_web01[2021 Evidence],1,1))+1), ROW(1:1))), "") &amp; ""</f>
        <v>Web Accessibility Coordinator https://sfsu.box.com/s/bsky7ph9alkefa7s8un3ksfc8lmyeb6i</v>
      </c>
      <c r="F5" s="195"/>
      <c r="G5" s="173" t="s">
        <v>66</v>
      </c>
      <c r="H5" s="172" t="s">
        <v>623</v>
      </c>
      <c r="I5" s="173"/>
      <c r="J5" s="192">
        <f>IF(ISBLANK(_web1_gap[[#This Row],[2023 Status]]), "2023 Status Empty",
IF(_web1_gap[[#This Row],[2023 Status]] = "Not Started", -5,
IFERROR(
    IF(VLOOKUP(_web1_gap[[#This Row],[2021 Status]], _statuses[Status Level]:_statuses[Status Value], 7, FALSE) &gt; VLOOKUP(_web1_gap[[#This Row],[2023 Status]], _statuses[Status Level]:_statuses[Status Value], 7, FALSE),
    -ABS(VLOOKUP(_web1_gap[[#This Row],[2021 Status]], _statuses[Status Level]:_statuses[Status Value], 7, FALSE) - VLOOKUP(_web1_gap[[#This Row],[2023 Status]], _statuses[Status Level]:_statuses[Status Value], 7, FALSE)),
    ABS(VLOOKUP(_web1_gap[[#This Row],[2021 Status]], _statuses[Status Level]:_statuses[Status Value], 7, FALSE) - VLOOKUP(_web1_gap[[#This Row],[2023 Status]], _statuses[Status Level]:_statuses[Status Value], 7, FALSE))),
"Error in Calculation")
))</f>
        <v>0</v>
      </c>
    </row>
    <row r="6" spans="1:10" ht="115" customHeight="1" x14ac:dyDescent="0.35">
      <c r="A6" s="186" t="str" cm="1">
        <f t="array" ref="A6">IFERROR(INDEX(_web01[Goal '#], SMALL(IF(_web01[Success Indicator]&lt;&gt; "Removed", ROW(_web01[Goal '#])-ROW(INDEX(_web01[Goal '#],1,1))+1), ROW(2:2))), "") &amp; ""</f>
        <v>1.2</v>
      </c>
      <c r="B6" s="1" t="str" cm="1">
        <f t="array" ref="B6">IFERROR(INDEX(_web01[Success Indicator], SMALL(IF(_web01[Success Indicator]&lt;&gt; "Removed", ROW(_web01[Success Indicator])-ROW(INDEX(_web01[Success Indicator],1,1))+1), ROW(2:2))), "") &amp; ""</f>
        <v>Developed a process to Inventory all websites and applications (web or mobile) affiliated with the university, including those developed by contract vendors.</v>
      </c>
      <c r="C6" s="1" t="str" cm="1">
        <f t="array" ref="C6">IFERROR(INDEX(_web01[Department Stakeholder?], SMALL(IF(_web01[Success Indicator]&lt;&gt; "Removed", ROW(_web01[Department Stakeholder?])-ROW(INDEX(_web01[Department Stakeholder?],1,1))+1), ROW(2:2))), "") &amp; ""</f>
        <v>Director of Web &amp; Mobile Applications</v>
      </c>
      <c r="D6" s="1" t="str" cm="1">
        <f t="array" ref="D6">IFERROR(INDEX(_web01[2021 Status], SMALL(IF(_web01[Success Indicator]&lt;&gt; "Removed", ROW(_web01[2021 Status])-ROW(INDEX(_web01[2021 Status],1,1))+1), ROW(2:2))), "") &amp; ""</f>
        <v>Established</v>
      </c>
      <c r="E6" s="1" t="str" cm="1">
        <f t="array" ref="E6">IFERROR(INDEX(_web01[2021 Evidence], SMALL(IF(_web01[Success Indicator]&lt;&gt; "Removed", ROW(_web01[2021 Evidence])-ROW(INDEX(_web01[2021 Evidence],1,1))+1), ROW(2:2))), "") &amp; ""</f>
        <v>ITS Analyst/Programmers https://sfsu.box.com/s/bsky7ph9alkefa7s8un3ksfc8lmyeb6i</v>
      </c>
      <c r="F6" s="195" t="s">
        <v>63</v>
      </c>
      <c r="G6" s="173" t="s">
        <v>42</v>
      </c>
      <c r="H6" s="172" t="s">
        <v>624</v>
      </c>
      <c r="I6" s="173"/>
      <c r="J6" s="193">
        <f>IF(ISBLANK(_web1_gap[[#This Row],[2023 Status]]), "2023 Status Empty",
IF(_web1_gap[[#This Row],[2023 Status]] = "Not Started", -5,
IFERROR(
    IF(VLOOKUP(_web1_gap[[#This Row],[2021 Status]], _statuses[Status Level]:_statuses[Status Value], 7, FALSE) &gt; VLOOKUP(_web1_gap[[#This Row],[2023 Status]], _statuses[Status Level]:_statuses[Status Value], 7, FALSE),
    -ABS(VLOOKUP(_web1_gap[[#This Row],[2021 Status]], _statuses[Status Level]:_statuses[Status Value], 7, FALSE) - VLOOKUP(_web1_gap[[#This Row],[2023 Status]], _statuses[Status Level]:_statuses[Status Value], 7, FALSE)),
    ABS(VLOOKUP(_web1_gap[[#This Row],[2021 Status]], _statuses[Status Level]:_statuses[Status Value], 7, FALSE) - VLOOKUP(_web1_gap[[#This Row],[2023 Status]], _statuses[Status Level]:_statuses[Status Value], 7, FALSE))),
"Error in Calculation")
))</f>
        <v>-2</v>
      </c>
    </row>
    <row r="7" spans="1:10" ht="203" x14ac:dyDescent="0.35">
      <c r="A7" s="186" t="str" cm="1">
        <f t="array" ref="A7">IFERROR(INDEX(_web01[Goal '#], SMALL(IF(_web01[Success Indicator]&lt;&gt; "Removed", ROW(_web01[Goal '#])-ROW(INDEX(_web01[Goal '#],1,1))+1), ROW(3:3))), "") &amp; ""</f>
        <v>1.4</v>
      </c>
      <c r="B7" s="1" t="str" cm="1">
        <f t="array" ref="B7">IFERROR(INDEX(_web01[Success Indicator], SMALL(IF(_web01[Success Indicator]&lt;&gt; "Removed", ROW(_web01[Success Indicator])-ROW(INDEX(_web01[Success Indicator],1,1))+1), ROW(3:3))), "") &amp; ""</f>
        <v>Established a process to perform regularly scheduled accessibility audits using established criteria to identify campus-affiliated websites and applications (web or mobile) that need remediation.  </v>
      </c>
      <c r="C7" s="1" t="str" cm="1">
        <f t="array" ref="C7">IFERROR(INDEX(_web01[Department Stakeholder?], SMALL(IF(_web01[Success Indicator]&lt;&gt; "Removed", ROW(_web01[Department Stakeholder?])-ROW(INDEX(_web01[Department Stakeholder?],1,1))+1), ROW(3:3))), "") &amp; ""</f>
        <v>Web Accessibility Coordinator</v>
      </c>
      <c r="D7" s="1" t="str" cm="1">
        <f t="array" ref="D7">IFERROR(INDEX(_web01[2021 Status], SMALL(IF(_web01[Success Indicator]&lt;&gt; "Removed", ROW(_web01[2021 Status])-ROW(INDEX(_web01[2021 Status],1,1))+1), ROW(3:3))), "") &amp; ""</f>
        <v>Established</v>
      </c>
      <c r="E7" s="1" t="str" cm="1">
        <f t="array" ref="E7">IFERROR(INDEX(_web01[2021 Evidence], SMALL(IF(_web01[Success Indicator]&lt;&gt; "Removed", ROW(_web01[2021 Evidence])-ROW(INDEX(_web01[2021 Evidence],1,1))+1), ROW(3:3))), "") &amp; ""</f>
        <v>Web Accessibility Coordinator; https://sfsu.box.com/s/bsky7ph9alkefa7s8un3ksfc8lmyeb6i</v>
      </c>
      <c r="F7" s="195" t="s">
        <v>177</v>
      </c>
      <c r="G7" s="173" t="s">
        <v>42</v>
      </c>
      <c r="H7" s="172" t="s">
        <v>625</v>
      </c>
      <c r="I7" s="173" t="s">
        <v>178</v>
      </c>
      <c r="J7" s="193">
        <f>IF(ISBLANK(_web1_gap[[#This Row],[2023 Status]]), "2023 Status Empty",
IF(_web1_gap[[#This Row],[2023 Status]] = "Not Started", -5,
IFERROR(
    IF(VLOOKUP(_web1_gap[[#This Row],[2021 Status]], _statuses[Status Level]:_statuses[Status Value], 7, FALSE) &gt; VLOOKUP(_web1_gap[[#This Row],[2023 Status]], _statuses[Status Level]:_statuses[Status Value], 7, FALSE),
    -ABS(VLOOKUP(_web1_gap[[#This Row],[2021 Status]], _statuses[Status Level]:_statuses[Status Value], 7, FALSE) - VLOOKUP(_web1_gap[[#This Row],[2023 Status]], _statuses[Status Level]:_statuses[Status Value], 7, FALSE)),
    ABS(VLOOKUP(_web1_gap[[#This Row],[2021 Status]], _statuses[Status Level]:_statuses[Status Value], 7, FALSE) - VLOOKUP(_web1_gap[[#This Row],[2023 Status]], _statuses[Status Level]:_statuses[Status Value], 7, FALSE))),
"Error in Calculation")
))</f>
        <v>-2</v>
      </c>
    </row>
    <row r="8" spans="1:10" ht="58" x14ac:dyDescent="0.35">
      <c r="A8" s="186" t="str" cm="1">
        <f t="array" ref="A8">IFERROR(INDEX(_web01[Goal '#], SMALL(IF(_web01[Success Indicator]&lt;&gt; "Removed", ROW(_web01[Goal '#])-ROW(INDEX(_web01[Goal '#],1,1))+1), ROW(4:4))), "") &amp; ""</f>
        <v>1.6</v>
      </c>
      <c r="B8" s="1" t="str" cm="1">
        <f t="array" ref="B8">IFERROR(INDEX(_web01[Success Indicator], SMALL(IF(_web01[Success Indicator]&lt;&gt; "Removed", ROW(_web01[Success Indicator])-ROW(INDEX(_web01[Success Indicator],1,1))+1), ROW(4:4))), "") &amp; ""</f>
        <v>Developed a process to conduct manual accessibility evaluations on campus-affiliated websites and applications (web or mobile).</v>
      </c>
      <c r="C8" s="1" t="str" cm="1">
        <f t="array" ref="C8">IFERROR(INDEX(_web01[Department Stakeholder?], SMALL(IF(_web01[Success Indicator]&lt;&gt; "Removed", ROW(_web01[Department Stakeholder?])-ROW(INDEX(_web01[Department Stakeholder?],1,1))+1), ROW(4:4))), "") &amp; ""</f>
        <v>Web Accessibility Coordinator</v>
      </c>
      <c r="D8" s="1" t="str" cm="1">
        <f t="array" ref="D8">IFERROR(INDEX(_web01[2021 Status], SMALL(IF(_web01[Success Indicator]&lt;&gt; "Removed", ROW(_web01[2021 Status])-ROW(INDEX(_web01[2021 Status],1,1))+1), ROW(4:4))), "") &amp; ""</f>
        <v>Managed</v>
      </c>
      <c r="E8" s="1" t="str" cm="1">
        <f t="array" ref="E8">IFERROR(INDEX(_web01[2021 Evidence], SMALL(IF(_web01[Success Indicator]&lt;&gt; "Removed", ROW(_web01[2021 Evidence])-ROW(INDEX(_web01[2021 Evidence],1,1))+1), ROW(4:4))), "") &amp; ""</f>
        <v>Web Accessibility Coordinator Process document in department share https://sfsu.box.com/s/bsky7ph9alkefa7s8un3ksfc8lmyeb6i</v>
      </c>
      <c r="F8" s="195"/>
      <c r="G8" s="173" t="s">
        <v>66</v>
      </c>
      <c r="H8" s="172"/>
      <c r="I8" s="173"/>
      <c r="J8" s="193">
        <f>IF(ISBLANK(_web1_gap[[#This Row],[2023 Status]]), "2023 Status Empty",
IF(_web1_gap[[#This Row],[2023 Status]] = "Not Started", -5,
IFERROR(
    IF(VLOOKUP(_web1_gap[[#This Row],[2021 Status]], _statuses[Status Level]:_statuses[Status Value], 7, FALSE) &gt; VLOOKUP(_web1_gap[[#This Row],[2023 Status]], _statuses[Status Level]:_statuses[Status Value], 7, FALSE),
    -ABS(VLOOKUP(_web1_gap[[#This Row],[2021 Status]], _statuses[Status Level]:_statuses[Status Value], 7, FALSE) - VLOOKUP(_web1_gap[[#This Row],[2023 Status]], _statuses[Status Level]:_statuses[Status Value], 7, FALSE)),
    ABS(VLOOKUP(_web1_gap[[#This Row],[2021 Status]], _statuses[Status Level]:_statuses[Status Value], 7, FALSE) - VLOOKUP(_web1_gap[[#This Row],[2023 Status]], _statuses[Status Level]:_statuses[Status Value], 7, FALSE))),
"Error in Calculation")
))</f>
        <v>0</v>
      </c>
    </row>
    <row r="9" spans="1:10" ht="43.5" x14ac:dyDescent="0.35">
      <c r="A9" s="186" t="str" cm="1">
        <f t="array" ref="A9">IFERROR(INDEX(_web01[Goal '#], SMALL(IF(_web01[Success Indicator]&lt;&gt; "Removed", ROW(_web01[Goal '#])-ROW(INDEX(_web01[Goal '#],1,1))+1), ROW(5:5))), "") &amp; ""</f>
        <v>1.7</v>
      </c>
      <c r="B9" s="1" t="str" cm="1">
        <f t="array" ref="B9">IFERROR(INDEX(_web01[Success Indicator], SMALL(IF(_web01[Success Indicator]&lt;&gt; "Removed", ROW(_web01[Success Indicator])-ROW(INDEX(_web01[Success Indicator],1,1))+1), ROW(5:5))), "") &amp; ""</f>
        <v>Developed a process to distribute evaluation results to campus members and/or vendors responsible for website maintenance.</v>
      </c>
      <c r="C9" s="1" t="str" cm="1">
        <f t="array" ref="C9">IFERROR(INDEX(_web01[Department Stakeholder?], SMALL(IF(_web01[Success Indicator]&lt;&gt; "Removed", ROW(_web01[Department Stakeholder?])-ROW(INDEX(_web01[Department Stakeholder?],1,1))+1), ROW(5:5))), "") &amp; ""</f>
        <v>Web Accessibility Coordinator</v>
      </c>
      <c r="D9" s="1" t="str" cm="1">
        <f t="array" ref="D9">IFERROR(INDEX(_web01[2021 Status], SMALL(IF(_web01[Success Indicator]&lt;&gt; "Removed", ROW(_web01[2021 Status])-ROW(INDEX(_web01[2021 Status],1,1))+1), ROW(5:5))), "") &amp; ""</f>
        <v>Established</v>
      </c>
      <c r="E9" s="1" t="str" cm="1">
        <f t="array" ref="E9">IFERROR(INDEX(_web01[2021 Evidence], SMALL(IF(_web01[Success Indicator]&lt;&gt; "Removed", ROW(_web01[2021 Evidence])-ROW(INDEX(_web01[2021 Evidence],1,1))+1), ROW(5:5))), "") &amp; ""</f>
        <v>Web Accessibility Coordinator https://sfsu.box.com/s/bsky7ph9alkefa7s8un3ksfc8lmyeb6i</v>
      </c>
      <c r="F9" s="195"/>
      <c r="G9" s="173" t="s">
        <v>33</v>
      </c>
      <c r="H9" s="172"/>
      <c r="I9" s="173"/>
      <c r="J9" s="193">
        <f>IF(ISBLANK(_web1_gap[[#This Row],[2023 Status]]), "2023 Status Empty",
IF(_web1_gap[[#This Row],[2023 Status]] = "Not Started", -5,
IFERROR(
    IF(VLOOKUP(_web1_gap[[#This Row],[2021 Status]], _statuses[Status Level]:_statuses[Status Value], 7, FALSE) &gt; VLOOKUP(_web1_gap[[#This Row],[2023 Status]], _statuses[Status Level]:_statuses[Status Value], 7, FALSE),
    -ABS(VLOOKUP(_web1_gap[[#This Row],[2021 Status]], _statuses[Status Level]:_statuses[Status Value], 7, FALSE) - VLOOKUP(_web1_gap[[#This Row],[2023 Status]], _statuses[Status Level]:_statuses[Status Value], 7, FALSE)),
    ABS(VLOOKUP(_web1_gap[[#This Row],[2021 Status]], _statuses[Status Level]:_statuses[Status Value], 7, FALSE) - VLOOKUP(_web1_gap[[#This Row],[2023 Status]], _statuses[Status Level]:_statuses[Status Value], 7, FALSE))),
"Error in Calculation")
))</f>
        <v>0</v>
      </c>
    </row>
    <row r="10" spans="1:10" ht="145" x14ac:dyDescent="0.35">
      <c r="A10" s="186" t="str" cm="1">
        <f t="array" ref="A10">IFERROR(INDEX(_web01[Goal '#], SMALL(IF(_web01[Success Indicator]&lt;&gt; "Removed", ROW(_web01[Goal '#])-ROW(INDEX(_web01[Goal '#],1,1))+1), ROW(6:6))), "") &amp; ""</f>
        <v>1.9</v>
      </c>
      <c r="B10" s="1" t="str" cm="1">
        <f t="array" ref="B10">IFERROR(INDEX(_web01[Success Indicator], SMALL(IF(_web01[Success Indicator]&lt;&gt; "Removed", ROW(_web01[Success Indicator])-ROW(INDEX(_web01[Success Indicator],1,1))+1), ROW(6:6))), "") &amp; ""</f>
        <v>Developed a process to ensure that campus members involved in maintaining websites and applications (web or mobile) understand the accessibility evaluation process.</v>
      </c>
      <c r="C10" s="1" t="str" cm="1">
        <f t="array" ref="C10">IFERROR(INDEX(_web01[Department Stakeholder?], SMALL(IF(_web01[Success Indicator]&lt;&gt; "Removed", ROW(_web01[Department Stakeholder?])-ROW(INDEX(_web01[Department Stakeholder?],1,1))+1), ROW(6:6))), "") &amp; ""</f>
        <v>Web Accessibility Coordinator</v>
      </c>
      <c r="D10" s="1" t="str" cm="1">
        <f t="array" ref="D10">IFERROR(INDEX(_web01[2021 Status], SMALL(IF(_web01[Success Indicator]&lt;&gt; "Removed", ROW(_web01[2021 Status])-ROW(INDEX(_web01[2021 Status],1,1))+1), ROW(6:6))), "") &amp; ""</f>
        <v>Managed</v>
      </c>
      <c r="E10" s="1" t="str" cm="1">
        <f t="array" ref="E10">IFERROR(INDEX(_web01[2021 Evidence], SMALL(IF(_web01[Success Indicator]&lt;&gt; "Removed", ROW(_web01[2021 Evidence])-ROW(INDEX(_web01[2021 Evidence],1,1))+1), ROW(6:6))), "") &amp; ""</f>
        <v>Web Accessibility Coordinator; Analyst/Programmers http://drupal.sfsu.edu/checklist-moving-your-site-production Process document in department share ( https://sfsu.box.com/s/bsky7ph9alkefa7s8un3ksfc8lmyeb6i) Measures of success: Fixed process for going live that everyone required to follow. Stats in ticketing system</v>
      </c>
      <c r="F10" s="196" t="s">
        <v>184</v>
      </c>
      <c r="G10" s="173" t="s">
        <v>66</v>
      </c>
      <c r="H10" s="191" t="s">
        <v>185</v>
      </c>
      <c r="I10" s="173"/>
      <c r="J10" s="193">
        <f>IF(ISBLANK(_web1_gap[[#This Row],[2023 Status]]), "2023 Status Empty",
IF(_web1_gap[[#This Row],[2023 Status]] = "Not Started", -5,
IFERROR(
    IF(VLOOKUP(_web1_gap[[#This Row],[2021 Status]], _statuses[Status Level]:_statuses[Status Value], 7, FALSE) &gt; VLOOKUP(_web1_gap[[#This Row],[2023 Status]], _statuses[Status Level]:_statuses[Status Value], 7, FALSE),
    -ABS(VLOOKUP(_web1_gap[[#This Row],[2021 Status]], _statuses[Status Level]:_statuses[Status Value], 7, FALSE) - VLOOKUP(_web1_gap[[#This Row],[2023 Status]], _statuses[Status Level]:_statuses[Status Value], 7, FALSE)),
    ABS(VLOOKUP(_web1_gap[[#This Row],[2021 Status]], _statuses[Status Level]:_statuses[Status Value], 7, FALSE) - VLOOKUP(_web1_gap[[#This Row],[2023 Status]], _statuses[Status Level]:_statuses[Status Value], 7, FALSE))),
"Error in Calculation")
))</f>
        <v>0</v>
      </c>
    </row>
    <row r="11" spans="1:10" ht="130.5" x14ac:dyDescent="0.35">
      <c r="A11" s="186" t="str" cm="1">
        <f t="array" ref="A11">IFERROR(INDEX(_web01[Goal '#], SMALL(IF(_web01[Success Indicator]&lt;&gt; "Removed", ROW(_web01[Goal '#])-ROW(INDEX(_web01[Goal '#],1,1))+1), ROW(7:7))), "") &amp; ""</f>
        <v>1.11</v>
      </c>
      <c r="B11" s="1" t="str" cm="1">
        <f t="array" ref="B11">IFERROR(INDEX(_web01[Success Indicator], SMALL(IF(_web01[Success Indicator]&lt;&gt; "Removed", ROW(_web01[Success Indicator])-ROW(INDEX(_web01[Success Indicator],1,1))+1), ROW(7:7))), "") &amp; ""</f>
        <v>Developed a process to conduct manual accessibility evaluations on digital content: documents (word processor produced, spreadsheets, presentations, PDFs).</v>
      </c>
      <c r="C11" s="1" t="str" cm="1">
        <f t="array" ref="C11">IFERROR(INDEX(_web01[Department Stakeholder?], SMALL(IF(_web01[Success Indicator]&lt;&gt; "Removed", ROW(_web01[Department Stakeholder?])-ROW(INDEX(_web01[Department Stakeholder?],1,1))+1), ROW(7:7))), "") &amp; ""</f>
        <v>Web Accessibility Coordinator</v>
      </c>
      <c r="D11" s="1" t="str" cm="1">
        <f t="array" ref="D11">IFERROR(INDEX(_web01[2021 Status], SMALL(IF(_web01[Success Indicator]&lt;&gt; "Removed", ROW(_web01[2021 Status])-ROW(INDEX(_web01[2021 Status],1,1))+1), ROW(7:7))), "") &amp; ""</f>
        <v>Managed</v>
      </c>
      <c r="E11" s="1" t="str" cm="1">
        <f t="array" ref="E11">IFERROR(INDEX(_web01[2021 Evidence], SMALL(IF(_web01[Success Indicator]&lt;&gt; "Removed", ROW(_web01[2021 Evidence])-ROW(INDEX(_web01[2021 Evidence],1,1))+1), ROW(7:7))), "") &amp; ""</f>
        <v>Web Accessibility Coordinator Process document in department share (https://sfsu.box.com/s/bsky7ph9alkefa7s8un3ksfc8lmyeb6i) Measures of success: Process outlined in Manual web evaluation https://access.sfsu.edu/sites/default/files/documents/Web_Manual_Evaluation_Summary.docx</v>
      </c>
      <c r="F11" s="191" t="s">
        <v>626</v>
      </c>
      <c r="G11" s="173" t="s">
        <v>66</v>
      </c>
      <c r="H11" s="1" t="s">
        <v>71</v>
      </c>
      <c r="I11" s="173"/>
      <c r="J11" s="193">
        <f>IF(ISBLANK(_web1_gap[[#This Row],[2023 Status]]), "2023 Status Empty",
IF(_web1_gap[[#This Row],[2023 Status]] = "Not Started", -5,
IFERROR(
    IF(VLOOKUP(_web1_gap[[#This Row],[2021 Status]], _statuses[Status Level]:_statuses[Status Value], 7, FALSE) &gt; VLOOKUP(_web1_gap[[#This Row],[2023 Status]], _statuses[Status Level]:_statuses[Status Value], 7, FALSE),
    -ABS(VLOOKUP(_web1_gap[[#This Row],[2021 Status]], _statuses[Status Level]:_statuses[Status Value], 7, FALSE) - VLOOKUP(_web1_gap[[#This Row],[2023 Status]], _statuses[Status Level]:_statuses[Status Value], 7, FALSE)),
    ABS(VLOOKUP(_web1_gap[[#This Row],[2021 Status]], _statuses[Status Level]:_statuses[Status Value], 7, FALSE) - VLOOKUP(_web1_gap[[#This Row],[2023 Status]], _statuses[Status Level]:_statuses[Status Value], 7, FALSE))),
"Error in Calculation")
))</f>
        <v>0</v>
      </c>
    </row>
    <row r="12" spans="1:10" ht="145" x14ac:dyDescent="0.35">
      <c r="A12" s="186" t="str" cm="1">
        <f t="array" ref="A12">IFERROR(INDEX(_web01[Goal '#], SMALL(IF(_web01[Success Indicator]&lt;&gt; "Removed", ROW(_web01[Goal '#])-ROW(INDEX(_web01[Goal '#],1,1))+1), ROW(8:8))), "") &amp; ""</f>
        <v>1.12</v>
      </c>
      <c r="B12" s="1" t="str" cm="1">
        <f t="array" ref="B12">IFERROR(INDEX(_web01[Success Indicator], SMALL(IF(_web01[Success Indicator]&lt;&gt; "Removed", ROW(_web01[Success Indicator])-ROW(INDEX(_web01[Success Indicator],1,1))+1), ROW(8:8))), "") &amp; ""</f>
        <v>Developed a process to conduct manual evaluations on multimedia digital content (video and audio).</v>
      </c>
      <c r="C12" s="1" t="str" cm="1">
        <f t="array" ref="C12">IFERROR(INDEX(_web01[Department Stakeholder?], SMALL(IF(_web01[Success Indicator]&lt;&gt; "Removed", ROW(_web01[Department Stakeholder?])-ROW(INDEX(_web01[Department Stakeholder?],1,1))+1), ROW(8:8))), "") &amp; ""</f>
        <v>Web Accessibility Coordinator</v>
      </c>
      <c r="D12" s="1" t="str" cm="1">
        <f t="array" ref="D12">IFERROR(INDEX(_web01[2021 Status], SMALL(IF(_web01[Success Indicator]&lt;&gt; "Removed", ROW(_web01[2021 Status])-ROW(INDEX(_web01[2021 Status],1,1))+1), ROW(8:8))), "") &amp; ""</f>
        <v>Managed</v>
      </c>
      <c r="E12" s="1" t="str" cm="1">
        <f t="array" ref="E12">IFERROR(INDEX(_web01[2021 Evidence], SMALL(IF(_web01[Success Indicator]&lt;&gt; "Removed", ROW(_web01[2021 Evidence])-ROW(INDEX(_web01[2021 Evidence],1,1))+1), ROW(8:8))), "") &amp; ""</f>
        <v>Web Accessibility Coordinator
Process document in department share (https://sfsu.box.com/s/bsky7ph9alkefa7s8un3ksfc8lmyeb6i)
Measures of success: Process outlined in Manual web evaluation https://access.sfsu.edu/sites/default/files/documents/Web_Manual_Evaluation_Summary.docx</v>
      </c>
      <c r="F12" s="195"/>
      <c r="G12" s="173" t="s">
        <v>66</v>
      </c>
      <c r="H12" s="172" t="s">
        <v>628</v>
      </c>
      <c r="I12" s="173"/>
      <c r="J12" s="193">
        <f>IF(ISBLANK(_web1_gap[[#This Row],[2023 Status]]), "2023 Status Empty",
IF(_web1_gap[[#This Row],[2023 Status]] = "Not Started", -5,
IFERROR(
    IF(VLOOKUP(_web1_gap[[#This Row],[2021 Status]], _statuses[Status Level]:_statuses[Status Value], 7, FALSE) &gt; VLOOKUP(_web1_gap[[#This Row],[2023 Status]], _statuses[Status Level]:_statuses[Status Value], 7, FALSE),
    -ABS(VLOOKUP(_web1_gap[[#This Row],[2021 Status]], _statuses[Status Level]:_statuses[Status Value], 7, FALSE) - VLOOKUP(_web1_gap[[#This Row],[2023 Status]], _statuses[Status Level]:_statuses[Status Value], 7, FALSE)),
    ABS(VLOOKUP(_web1_gap[[#This Row],[2021 Status]], _statuses[Status Level]:_statuses[Status Value], 7, FALSE) - VLOOKUP(_web1_gap[[#This Row],[2023 Status]], _statuses[Status Level]:_statuses[Status Value], 7, FALSE))),
"Error in Calculation")
))</f>
        <v>0</v>
      </c>
    </row>
    <row r="13" spans="1:10" ht="101.5" x14ac:dyDescent="0.35">
      <c r="A13" s="186" t="str" cm="1">
        <f t="array" ref="A13">IFERROR(INDEX(_web01[Goal '#], SMALL(IF(_web01[Success Indicator]&lt;&gt; "Removed", ROW(_web01[Goal '#])-ROW(INDEX(_web01[Goal '#],1,1))+1), ROW(9:9))), "") &amp; ""</f>
        <v>1.14</v>
      </c>
      <c r="B13" s="1" t="str" cm="1">
        <f t="array" ref="B13">IFERROR(INDEX(_web01[Success Indicator], SMALL(IF(_web01[Success Indicator]&lt;&gt; "Removed", ROW(_web01[Success Indicator])-ROW(INDEX(_web01[Success Indicator],1,1))+1), ROW(9:9))), "") &amp; ""</f>
        <v>Developed a process to distribute evaluation results to campus members and vendors responsible for digital content maintenance.</v>
      </c>
      <c r="C13" s="1" t="str" cm="1">
        <f t="array" ref="C13">IFERROR(INDEX(_web01[Department Stakeholder?], SMALL(IF(_web01[Success Indicator]&lt;&gt; "Removed", ROW(_web01[Department Stakeholder?])-ROW(INDEX(_web01[Department Stakeholder?],1,1))+1), ROW(9:9))), "") &amp; ""</f>
        <v>Web Accessibility Coordinator</v>
      </c>
      <c r="D13" s="1" t="str" cm="1">
        <f t="array" ref="D13">IFERROR(INDEX(_web01[2021 Status], SMALL(IF(_web01[Success Indicator]&lt;&gt; "Removed", ROW(_web01[2021 Status])-ROW(INDEX(_web01[2021 Status],1,1))+1), ROW(9:9))), "") &amp; ""</f>
        <v>Managed</v>
      </c>
      <c r="E13" s="1" t="str" cm="1">
        <f t="array" ref="E13">IFERROR(INDEX(_web01[2021 Evidence], SMALL(IF(_web01[Success Indicator]&lt;&gt; "Removed", ROW(_web01[2021 Evidence])-ROW(INDEX(_web01[2021 Evidence],1,1))+1), ROW(9:9))), "") &amp; ""</f>
        <v>Web Accessibility Coordinator Process document in department share (https://sfsu.box.com/s/bsky7ph9alkefa7s8un3ksfc8lmyeb6i) Measures of success: Tracked in ticketing system</v>
      </c>
      <c r="F13" s="195"/>
      <c r="G13" s="173" t="s">
        <v>66</v>
      </c>
      <c r="H13" s="172" t="s">
        <v>627</v>
      </c>
      <c r="I13" s="173"/>
      <c r="J13" s="193">
        <f>IF(ISBLANK(_web1_gap[[#This Row],[2023 Status]]), "2023 Status Empty",
IF(_web1_gap[[#This Row],[2023 Status]] = "Not Started", -5,
IFERROR(
    IF(VLOOKUP(_web1_gap[[#This Row],[2021 Status]], _statuses[Status Level]:_statuses[Status Value], 7, FALSE) &gt; VLOOKUP(_web1_gap[[#This Row],[2023 Status]], _statuses[Status Level]:_statuses[Status Value], 7, FALSE),
    -ABS(VLOOKUP(_web1_gap[[#This Row],[2021 Status]], _statuses[Status Level]:_statuses[Status Value], 7, FALSE) - VLOOKUP(_web1_gap[[#This Row],[2023 Status]], _statuses[Status Level]:_statuses[Status Value], 7, FALSE)),
    ABS(VLOOKUP(_web1_gap[[#This Row],[2021 Status]], _statuses[Status Level]:_statuses[Status Value], 7, FALSE) - VLOOKUP(_web1_gap[[#This Row],[2023 Status]], _statuses[Status Level]:_statuses[Status Value], 7, FALSE))),
"Error in Calculation")
))</f>
        <v>0</v>
      </c>
    </row>
    <row r="14" spans="1:10" ht="101.5" x14ac:dyDescent="0.35">
      <c r="A14" s="186" t="str" cm="1">
        <f t="array" ref="A14">IFERROR(INDEX(_web01[Goal '#], SMALL(IF(_web01[Success Indicator]&lt;&gt; "Removed", ROW(_web01[Goal '#])-ROW(INDEX(_web01[Goal '#],1,1))+1), ROW(10:10))), "") &amp; ""</f>
        <v>1.15</v>
      </c>
      <c r="B14" s="1" t="str" cm="1">
        <f t="array" ref="B14">IFERROR(INDEX(_web01[Success Indicator], SMALL(IF(_web01[Success Indicator]&lt;&gt; "Removed", ROW(_web01[Success Indicator])-ROW(INDEX(_web01[Success Indicator],1,1))+1), ROW(10:10))), "") &amp; ""</f>
        <v xml:space="preserve"> Developed a process to ensure that campus members involved in maintaining digital content are familiar with the accessibility evaluation process</v>
      </c>
      <c r="C14" s="1" t="str" cm="1">
        <f t="array" ref="C14">IFERROR(INDEX(_web01[Department Stakeholder?], SMALL(IF(_web01[Success Indicator]&lt;&gt; "Removed", ROW(_web01[Department Stakeholder?])-ROW(INDEX(_web01[Department Stakeholder?],1,1))+1), ROW(10:10))), "") &amp; ""</f>
        <v>Web Accessibility Coordinator</v>
      </c>
      <c r="D14" s="1" t="str" cm="1">
        <f t="array" ref="D14">IFERROR(INDEX(_web01[2021 Status], SMALL(IF(_web01[Success Indicator]&lt;&gt; "Removed", ROW(_web01[2021 Status])-ROW(INDEX(_web01[2021 Status],1,1))+1), ROW(10:10))), "") &amp; ""</f>
        <v>Managed</v>
      </c>
      <c r="E14" s="1" t="str" cm="1">
        <f t="array" ref="E14">IFERROR(INDEX(_web01[2021 Evidence], SMALL(IF(_web01[Success Indicator]&lt;&gt; "Removed", ROW(_web01[2021 Evidence])-ROW(INDEX(_web01[2021 Evidence],1,1))+1), ROW(10:10))), "") &amp; ""</f>
        <v>Web Accessibility Coordinator Process document in department share (https://sfsu.box.com/s/bsky7ph9alkefa7s8un3ksfc8lmyeb6i) Measures of success: Tracked in ticketing system</v>
      </c>
      <c r="F14" s="195"/>
      <c r="G14" s="173" t="s">
        <v>66</v>
      </c>
      <c r="H14" s="172" t="s">
        <v>627</v>
      </c>
      <c r="I14" s="173"/>
      <c r="J14" s="193">
        <f>IF(ISBLANK(_web1_gap[[#This Row],[2023 Status]]), "2023 Status Empty",
IF(_web1_gap[[#This Row],[2023 Status]] = "Not Started", -5,
IFERROR(
    IF(VLOOKUP(_web1_gap[[#This Row],[2021 Status]], _statuses[Status Level]:_statuses[Status Value], 7, FALSE) &gt; VLOOKUP(_web1_gap[[#This Row],[2023 Status]], _statuses[Status Level]:_statuses[Status Value], 7, FALSE),
    -ABS(VLOOKUP(_web1_gap[[#This Row],[2021 Status]], _statuses[Status Level]:_statuses[Status Value], 7, FALSE) - VLOOKUP(_web1_gap[[#This Row],[2023 Status]], _statuses[Status Level]:_statuses[Status Value], 7, FALSE)),
    ABS(VLOOKUP(_web1_gap[[#This Row],[2021 Status]], _statuses[Status Level]:_statuses[Status Value], 7, FALSE) - VLOOKUP(_web1_gap[[#This Row],[2023 Status]], _statuses[Status Level]:_statuses[Status Value], 7, FALSE))),
"Error in Calculation")
))</f>
        <v>0</v>
      </c>
    </row>
    <row r="15" spans="1:10" ht="131" thickBot="1" x14ac:dyDescent="0.4">
      <c r="A15" s="186" t="str" cm="1">
        <f t="array" ref="A15">IFERROR(INDEX(_web01[Goal '#], SMALL(IF(_web01[Success Indicator]&lt;&gt; "Removed", ROW(_web01[Goal '#])-ROW(INDEX(_web01[Goal '#],1,1))+1), ROW(11:11))), "") &amp; ""</f>
        <v>1.19</v>
      </c>
      <c r="B15" s="1" t="str" cm="1">
        <f t="array" ref="B15">IFERROR(INDEX(_web01[Success Indicator], SMALL(IF(_web01[Success Indicator]&lt;&gt; "Removed", ROW(_web01[Success Indicator])-ROW(INDEX(_web01[Success Indicator],1,1))+1), ROW(11:11))), "") &amp; ""</f>
        <v>(New) Develop an application support process that includes published, specific accessibility statement(s) and a method to both report and address issues.</v>
      </c>
      <c r="C15" s="1" t="str" cm="1">
        <f t="array" ref="C15">IFERROR(INDEX(_web01[Department Stakeholder?], SMALL(IF(_web01[Success Indicator]&lt;&gt; "Removed", ROW(_web01[Department Stakeholder?])-ROW(INDEX(_web01[Department Stakeholder?],1,1))+1), ROW(11:11))), "") &amp; ""</f>
        <v>Director of Web &amp; Mobile Applications</v>
      </c>
      <c r="D15" s="1" t="str" cm="1">
        <f t="array" ref="D15">IFERROR(INDEX(_web01[2021 Status], SMALL(IF(_web01[Success Indicator]&lt;&gt; "Removed", ROW(_web01[2021 Status])-ROW(INDEX(_web01[2021 Status],1,1))+1), ROW(11:11))), "") &amp; ""</f>
        <v>Managed</v>
      </c>
      <c r="E15" s="1" t="str" cm="1">
        <f t="array" ref="E15">IFERROR(INDEX(_web01[2021 Evidence], SMALL(IF(_web01[Success Indicator]&lt;&gt; "Removed", ROW(_web01[2021 Evidence])-ROW(INDEX(_web01[2021 Evidence],1,1))+1), ROW(11:11))), "") &amp; ""</f>
        <v>Analyst/Programmers Process document in department share (https://sfsu.box.com/s/bsky7ph9alkefa7s8un3ksfc8lmyeb6i) Measures of success: Every centrally managed web application has the ability for users to provide feedback directly to campus developers. This feedback is sent to the ticketing system for review and tracking.</v>
      </c>
      <c r="F15" s="195"/>
      <c r="G15" s="173" t="s">
        <v>66</v>
      </c>
      <c r="H15" s="172" t="s">
        <v>627</v>
      </c>
      <c r="I15" s="173"/>
      <c r="J15" s="194">
        <f>IF(ISBLANK(_web1_gap[[#This Row],[2023 Status]]), "2023 Status Empty",
IF(_web1_gap[[#This Row],[2023 Status]] = "Not Started", -5,
IFERROR(
    IF(VLOOKUP(_web1_gap[[#This Row],[2021 Status]], _statuses[Status Level]:_statuses[Status Value], 7, FALSE) &gt; VLOOKUP(_web1_gap[[#This Row],[2023 Status]], _statuses[Status Level]:_statuses[Status Value], 7, FALSE),
    -ABS(VLOOKUP(_web1_gap[[#This Row],[2021 Status]], _statuses[Status Level]:_statuses[Status Value], 7, FALSE) - VLOOKUP(_web1_gap[[#This Row],[2023 Status]], _statuses[Status Level]:_statuses[Status Value], 7, FALSE)),
    ABS(VLOOKUP(_web1_gap[[#This Row],[2021 Status]], _statuses[Status Level]:_statuses[Status Value], 7, FALSE) - VLOOKUP(_web1_gap[[#This Row],[2023 Status]], _statuses[Status Level]:_statuses[Status Value], 7, FALSE))),
"Error in Calculation")
))</f>
        <v>0</v>
      </c>
    </row>
    <row r="16" spans="1:10" x14ac:dyDescent="0.35">
      <c r="B16" s="1"/>
      <c r="C16" s="1"/>
      <c r="E16" s="1"/>
      <c r="F16" s="1"/>
    </row>
    <row r="19" spans="1:10" ht="19" customHeight="1" thickBot="1" x14ac:dyDescent="0.4">
      <c r="A19" s="1" t="s">
        <v>3</v>
      </c>
      <c r="B19" s="1" t="s">
        <v>4</v>
      </c>
      <c r="C19" s="1" t="s">
        <v>5</v>
      </c>
      <c r="D19" s="1" t="s">
        <v>238</v>
      </c>
      <c r="E19" s="1" t="s">
        <v>6</v>
      </c>
      <c r="F19" s="1" t="s">
        <v>7</v>
      </c>
      <c r="G19" s="1" t="s">
        <v>8</v>
      </c>
      <c r="H19" s="1" t="s">
        <v>10</v>
      </c>
      <c r="I19" s="1" t="s">
        <v>11</v>
      </c>
      <c r="J19" s="1" t="s">
        <v>590</v>
      </c>
    </row>
    <row r="20" spans="1:10" ht="121" customHeight="1" x14ac:dyDescent="0.35">
      <c r="A20" s="174" t="str" cm="1">
        <f t="array" ref="A20">IFERROR(INDEX(_web02[Goal '#], SMALL(IF(_web02[Success Indicator]&lt;&gt; "Removed", ROW(_web02[Goal '#])-ROW(INDEX(_web02[Goal '#],1,1))+1), ROW(1:1))), "") &amp; ""</f>
        <v>2.1</v>
      </c>
      <c r="B20" s="1" t="str" cm="1">
        <f t="array" ref="B20">IFERROR(INDEX(_web02[Success Indicator], SMALL(IF(_web02[Success Indicator]&lt;&gt; "Removed", ROW(_web02[Success Indicator])-ROW(INDEX(_web02[Success Indicator],1,1))+1), ROW(1:1))), "") &amp; ""</f>
        <v>Developed a process to ensure that new websites and applications (web or mobile) are developed to meet Section 508 accessibility standards.</v>
      </c>
      <c r="C20" s="1" t="str" cm="1">
        <f t="array" ref="C20">IFERROR(INDEX(_web02[Department Stakeholder?], SMALL(IF(_web02[Success Indicator]&lt;&gt; "Removed", ROW(_web02[Department Stakeholder?])-ROW(INDEX(_web02[Department Stakeholder?],1,1))+1), ROW(1:1))), "") &amp; ""</f>
        <v>Web Accessibility Coordinator</v>
      </c>
      <c r="D20" s="1" t="str" cm="1">
        <f t="array" ref="D20">IFERROR(INDEX(_web02[2021 Status], SMALL(IF(_web02[Success Indicator]&lt;&gt; "Removed", ROW(_web02[2021 Status])-ROW(INDEX(_web02[2021 Status],1,1))+1), ROW(1:1))), "") &amp; ""</f>
        <v>Established</v>
      </c>
      <c r="E20" s="1" t="str" cm="1">
        <f t="array" ref="E20">IFERROR(INDEX(_web02[2021 Evidence], SMALL(IF(_web02[Success Indicator]&lt;&gt; "Removed", ROW(_web02[2021 Evidence])-ROW(INDEX(_web02[2021 Evidence],1,1))+1), ROW(1:1))), "") &amp; ""</f>
        <v>Web Accessibility Coordinator; Analyst/Programmer; Public Affairs/Communication Specialist Process document in department share (https://sfsu.box.com/s/bsky7ph9alkefa7s8un3ksfc8lmyeb6i)</v>
      </c>
      <c r="F20" s="174"/>
      <c r="G20" s="1" t="s">
        <v>33</v>
      </c>
      <c r="H20" s="1"/>
      <c r="I20" s="1"/>
      <c r="J20" s="192">
        <f>IF(ISBLANK(_web2_gap[[#This Row],[2023 Status]]), "2023 Status Empty",
IF(_web2_gap[[#This Row],[2023 Status]] = "Not Started", -5,
IFERROR(
    IF(VLOOKUP(_web2_gap[[#This Row],[2021 Status]], _statuses[Status Level]:_statuses[Status Value], 7, FALSE) &gt; VLOOKUP(_web2_gap[[#This Row],[2023 Status]], _statuses[Status Level]:_statuses[Status Value], 7, FALSE),
    -ABS(VLOOKUP(_web2_gap[[#This Row],[2021 Status]], _statuses[Status Level]:_statuses[Status Value], 7, FALSE) - VLOOKUP(_web2_gap[[#This Row],[2023 Status]], _statuses[Status Level]:_statuses[Status Value], 7, FALSE)),
    ABS(VLOOKUP(_web2_gap[[#This Row],[2021 Status]], _statuses[Status Level]:_statuses[Status Value], 7, FALSE) - VLOOKUP(_web2_gap[[#This Row],[2023 Status]], _statuses[Status Level]:_statuses[Status Value], 7, FALSE))),
"Error in Calculation")
))</f>
        <v>0</v>
      </c>
    </row>
    <row r="21" spans="1:10" ht="115" customHeight="1" x14ac:dyDescent="0.35">
      <c r="A21" s="174" t="str" cm="1">
        <f t="array" ref="A21">IFERROR(INDEX(_web02[Goal '#], SMALL(IF(_web02[Success Indicator]&lt;&gt; "Removed", ROW(_web02[Goal '#])-ROW(INDEX(_web02[Goal '#],1,1))+1), ROW(2:2))), "") &amp; ""</f>
        <v>2.2</v>
      </c>
      <c r="B21" s="1" t="str" cm="1">
        <f t="array" ref="B21">IFERROR(INDEX(_web02[Success Indicator], SMALL(IF(_web02[Success Indicator]&lt;&gt; "Removed", ROW(_web02[Success Indicator])-ROW(INDEX(_web02[Success Indicator],1,1))+1), ROW(2:2))), "") &amp; ""</f>
        <v>Developed a process to ensure that accessible coding techniques are used to develop new websites and web applications (web or mobile).</v>
      </c>
      <c r="C21" s="1" t="str" cm="1">
        <f t="array" ref="C21">IFERROR(INDEX(_web02[Department Stakeholder?], SMALL(IF(_web02[Success Indicator]&lt;&gt; "Removed", ROW(_web02[Department Stakeholder?])-ROW(INDEX(_web02[Department Stakeholder?],1,1))+1), ROW(2:2))), "") &amp; ""</f>
        <v>Director of Web &amp; Mobile Applications</v>
      </c>
      <c r="D21" s="1" t="str" cm="1">
        <f t="array" ref="D21">IFERROR(INDEX(_web02[2021 Status], SMALL(IF(_web02[Success Indicator]&lt;&gt; "Removed", ROW(_web02[2021 Status])-ROW(INDEX(_web02[2021 Status],1,1))+1), ROW(2:2))), "") &amp; ""</f>
        <v>Established</v>
      </c>
      <c r="E21" s="1" t="str" cm="1">
        <f t="array" ref="E21">IFERROR(INDEX(_web02[2021 Evidence], SMALL(IF(_web02[Success Indicator]&lt;&gt; "Removed", ROW(_web02[2021 Evidence])-ROW(INDEX(_web02[2021 Evidence],1,1))+1), ROW(2:2))), "") &amp; ""</f>
        <v>Web Accessibility Coordinator; Analyst/Programmer; Public Affairs/Communication Specialist Process document in department share (https://sfsu.box.com/s/bsky7ph9alkefa7s8un3ksfc8lmyeb6i)</v>
      </c>
      <c r="F21" s="174" t="s">
        <v>69</v>
      </c>
      <c r="G21" s="1" t="s">
        <v>33</v>
      </c>
      <c r="H21" s="1"/>
      <c r="I21" s="1"/>
      <c r="J21" s="193">
        <f>IF(ISBLANK(_web2_gap[[#This Row],[2023 Status]]), "2023 Status Empty",
IF(_web2_gap[[#This Row],[2023 Status]] = "Not Started", -5,
IFERROR(
    IF(VLOOKUP(_web2_gap[[#This Row],[2021 Status]], _statuses[Status Level]:_statuses[Status Value], 7, FALSE) &gt; VLOOKUP(_web2_gap[[#This Row],[2023 Status]], _statuses[Status Level]:_statuses[Status Value], 7, FALSE),
    -ABS(VLOOKUP(_web2_gap[[#This Row],[2021 Status]], _statuses[Status Level]:_statuses[Status Value], 7, FALSE) - VLOOKUP(_web2_gap[[#This Row],[2023 Status]], _statuses[Status Level]:_statuses[Status Value], 7, FALSE)),
    ABS(VLOOKUP(_web2_gap[[#This Row],[2021 Status]], _statuses[Status Level]:_statuses[Status Value], 7, FALSE) - VLOOKUP(_web2_gap[[#This Row],[2023 Status]], _statuses[Status Level]:_statuses[Status Value], 7, FALSE))),
"Error in Calculation")
))</f>
        <v>0</v>
      </c>
    </row>
    <row r="22" spans="1:10" ht="101.5" x14ac:dyDescent="0.35">
      <c r="A22" s="174" t="str" cm="1">
        <f t="array" ref="A22">IFERROR(INDEX(_web02[Goal '#], SMALL(IF(_web02[Success Indicator]&lt;&gt; "Removed", ROW(_web02[Goal '#])-ROW(INDEX(_web02[Goal '#],1,1))+1), ROW(3:3))), "") &amp; ""</f>
        <v>2.5</v>
      </c>
      <c r="B22" s="1" t="str" cm="1">
        <f t="array" ref="B22">IFERROR(INDEX(_web02[Success Indicator], SMALL(IF(_web02[Success Indicator]&lt;&gt; "Removed", ROW(_web02[Success Indicator])-ROW(INDEX(_web02[Success Indicator],1,1))+1), ROW(3:3))), "") &amp; ""</f>
        <v>Developed a process for digital content: documents (word processor produced, spreadsheets, presentations, PDFs) to meet Section 508 accessibility standards before the documents are published to the web.</v>
      </c>
      <c r="C22" s="1" t="str" cm="1">
        <f t="array" ref="C22">IFERROR(INDEX(_web02[Department Stakeholder?], SMALL(IF(_web02[Success Indicator]&lt;&gt; "Removed", ROW(_web02[Department Stakeholder?])-ROW(INDEX(_web02[Department Stakeholder?],1,1))+1), ROW(3:3))), "") &amp; ""</f>
        <v>Web Accessibility Coordinator</v>
      </c>
      <c r="D22" s="1" t="str" cm="1">
        <f t="array" ref="D22">IFERROR(INDEX(_web02[2021 Status], SMALL(IF(_web02[Success Indicator]&lt;&gt; "Removed", ROW(_web02[2021 Status])-ROW(INDEX(_web02[2021 Status],1,1))+1), ROW(3:3))), "") &amp; ""</f>
        <v>Established</v>
      </c>
      <c r="E22" s="1" t="str" cm="1">
        <f t="array" ref="E22">IFERROR(INDEX(_web02[2021 Evidence], SMALL(IF(_web02[Success Indicator]&lt;&gt; "Removed", ROW(_web02[2021 Evidence])-ROW(INDEX(_web02[2021 Evidence],1,1))+1), ROW(3:3))), "") &amp; ""</f>
        <v>Web Accessibility Coordinator Process document in department share (https://sfsu.box.com/s/bsky7ph9alkefa7s8un3ksfc8lmyeb6i)</v>
      </c>
      <c r="F22" s="174" t="s">
        <v>195</v>
      </c>
      <c r="G22" s="1" t="s">
        <v>33</v>
      </c>
      <c r="H22" s="1"/>
      <c r="I22" s="1"/>
      <c r="J22" s="193">
        <f>IF(ISBLANK(_web2_gap[[#This Row],[2023 Status]]), "2023 Status Empty",
IF(_web2_gap[[#This Row],[2023 Status]] = "Not Started", -5,
IFERROR(
    IF(VLOOKUP(_web2_gap[[#This Row],[2021 Status]], _statuses[Status Level]:_statuses[Status Value], 7, FALSE) &gt; VLOOKUP(_web2_gap[[#This Row],[2023 Status]], _statuses[Status Level]:_statuses[Status Value], 7, FALSE),
    -ABS(VLOOKUP(_web2_gap[[#This Row],[2021 Status]], _statuses[Status Level]:_statuses[Status Value], 7, FALSE) - VLOOKUP(_web2_gap[[#This Row],[2023 Status]], _statuses[Status Level]:_statuses[Status Value], 7, FALSE)),
    ABS(VLOOKUP(_web2_gap[[#This Row],[2021 Status]], _statuses[Status Level]:_statuses[Status Value], 7, FALSE) - VLOOKUP(_web2_gap[[#This Row],[2023 Status]], _statuses[Status Level]:_statuses[Status Value], 7, FALSE))),
"Error in Calculation")
))</f>
        <v>0</v>
      </c>
    </row>
    <row r="23" spans="1:10" ht="101.5" x14ac:dyDescent="0.35">
      <c r="A23" s="174" t="str" cm="1">
        <f t="array" ref="A23">IFERROR(INDEX(_web02[Goal '#], SMALL(IF(_web02[Success Indicator]&lt;&gt; "Removed", ROW(_web02[Goal '#])-ROW(INDEX(_web02[Goal '#],1,1))+1), ROW(4:4))), "") &amp; ""</f>
        <v>2.6</v>
      </c>
      <c r="B23" s="1" t="str" cm="1">
        <f t="array" ref="B23">IFERROR(INDEX(_web02[Success Indicator], SMALL(IF(_web02[Success Indicator]&lt;&gt; "Removed", ROW(_web02[Success Indicator])-ROW(INDEX(_web02[Success Indicator],1,1))+1), ROW(4:4))), "") &amp; ""</f>
        <v>Develop a process for video and audio to meet Section 508 accessibility standards before the content is published to the web.</v>
      </c>
      <c r="C23" s="1" t="str" cm="1">
        <f t="array" ref="C23">IFERROR(INDEX(_web02[Department Stakeholder?], SMALL(IF(_web02[Success Indicator]&lt;&gt; "Removed", ROW(_web02[Department Stakeholder?])-ROW(INDEX(_web02[Department Stakeholder?],1,1))+1), ROW(4:4))), "") &amp; ""</f>
        <v>Web Accessibility Coordinator</v>
      </c>
      <c r="D23" s="1" t="str" cm="1">
        <f t="array" ref="D23">IFERROR(INDEX(_web02[2021 Status], SMALL(IF(_web02[Success Indicator]&lt;&gt; "Removed", ROW(_web02[2021 Status])-ROW(INDEX(_web02[2021 Status],1,1))+1), ROW(4:4))), "") &amp; ""</f>
        <v>Established</v>
      </c>
      <c r="E23" s="1" t="str" cm="1">
        <f t="array" ref="E23">IFERROR(INDEX(_web02[2021 Evidence], SMALL(IF(_web02[Success Indicator]&lt;&gt; "Removed", ROW(_web02[2021 Evidence])-ROW(INDEX(_web02[2021 Evidence],1,1))+1), ROW(4:4))), "") &amp; ""</f>
        <v>Web Accessibility Coordinator Process document in department share (https://sfsu.box.com/s/bsky7ph9alkefa7s8un3ksfc8lmyeb6i)</v>
      </c>
      <c r="F23" s="174" t="s">
        <v>195</v>
      </c>
      <c r="G23" s="1" t="s">
        <v>33</v>
      </c>
      <c r="H23" s="1"/>
      <c r="I23" s="1"/>
      <c r="J23" s="193">
        <f>IF(ISBLANK(_web2_gap[[#This Row],[2023 Status]]), "2023 Status Empty",
IF(_web2_gap[[#This Row],[2023 Status]] = "Not Started", -5,
IFERROR(
    IF(VLOOKUP(_web2_gap[[#This Row],[2021 Status]], _statuses[Status Level]:_statuses[Status Value], 7, FALSE) &gt; VLOOKUP(_web2_gap[[#This Row],[2023 Status]], _statuses[Status Level]:_statuses[Status Value], 7, FALSE),
    -ABS(VLOOKUP(_web2_gap[[#This Row],[2021 Status]], _statuses[Status Level]:_statuses[Status Value], 7, FALSE) - VLOOKUP(_web2_gap[[#This Row],[2023 Status]], _statuses[Status Level]:_statuses[Status Value], 7, FALSE)),
    ABS(VLOOKUP(_web2_gap[[#This Row],[2021 Status]], _statuses[Status Level]:_statuses[Status Value], 7, FALSE) - VLOOKUP(_web2_gap[[#This Row],[2023 Status]], _statuses[Status Level]:_statuses[Status Value], 7, FALSE))),
"Error in Calculation")
))</f>
        <v>0</v>
      </c>
    </row>
    <row r="24" spans="1:10" ht="87.5" thickBot="1" x14ac:dyDescent="0.4">
      <c r="A24" s="174" t="str" cm="1">
        <f t="array" ref="A24">IFERROR(INDEX(_web02[Goal '#], SMALL(IF(_web02[Success Indicator]&lt;&gt; "Removed", ROW(_web02[Goal '#])-ROW(INDEX(_web02[Goal '#],1,1))+1), ROW(5:5))), "") &amp; ""</f>
        <v>2.9</v>
      </c>
      <c r="B24" s="1" t="str" cm="1">
        <f t="array" ref="B24">IFERROR(INDEX(_web02[Success Indicator], SMALL(IF(_web02[Success Indicator]&lt;&gt; "Removed", ROW(_web02[Success Indicator])-ROW(INDEX(_web02[Success Indicator],1,1))+1), ROW(5:5))), "") &amp; ""</f>
        <v>Assigned authority and responsibility for the new web/mobile development process to a body (person(s) or business entity).</v>
      </c>
      <c r="C24" s="1" t="str" cm="1">
        <f t="array" ref="C24">IFERROR(INDEX(_web02[Department Stakeholder?], SMALL(IF(_web02[Success Indicator]&lt;&gt; "Removed", ROW(_web02[Department Stakeholder?])-ROW(INDEX(_web02[Department Stakeholder?],1,1))+1), ROW(5:5))), "") &amp; ""</f>
        <v>Web Accessibility Coordinator</v>
      </c>
      <c r="D24" s="1" t="str" cm="1">
        <f t="array" ref="D24">IFERROR(INDEX(_web02[2021 Status], SMALL(IF(_web02[Success Indicator]&lt;&gt; "Removed", ROW(_web02[2021 Status])-ROW(INDEX(_web02[2021 Status],1,1))+1), ROW(5:5))), "") &amp; ""</f>
        <v>Established</v>
      </c>
      <c r="E24" s="1" t="str" cm="1">
        <f t="array" ref="E24">IFERROR(INDEX(_web02[2021 Evidence], SMALL(IF(_web02[Success Indicator]&lt;&gt; "Removed", ROW(_web02[2021 Evidence])-ROW(INDEX(_web02[2021 Evidence],1,1))+1), ROW(5:5))), "") &amp; ""</f>
        <v>Web Accessibility Coordinator; Analyst/Programmer; Public Affairs/Communication Specialist Process document in department share (https://sfsu.box.com/s/bsky7ph9alkefa7s8un3ksfc8lmyeb6i)</v>
      </c>
      <c r="F24" s="174"/>
      <c r="G24" s="1" t="s">
        <v>33</v>
      </c>
      <c r="H24" s="1"/>
      <c r="I24" s="1"/>
      <c r="J24" s="194">
        <f>IF(ISBLANK(_web2_gap[[#This Row],[2023 Status]]), "2023 Status Empty",
IF(_web2_gap[[#This Row],[2023 Status]] = "Not Started", -5,
IFERROR(
    IF(VLOOKUP(_web2_gap[[#This Row],[2021 Status]], _statuses[Status Level]:_statuses[Status Value], 7, FALSE) &gt; VLOOKUP(_web2_gap[[#This Row],[2023 Status]], _statuses[Status Level]:_statuses[Status Value], 7, FALSE),
    -ABS(VLOOKUP(_web2_gap[[#This Row],[2021 Status]], _statuses[Status Level]:_statuses[Status Value], 7, FALSE) - VLOOKUP(_web2_gap[[#This Row],[2023 Status]], _statuses[Status Level]:_statuses[Status Value], 7, FALSE)),
    ABS(VLOOKUP(_web2_gap[[#This Row],[2021 Status]], _statuses[Status Level]:_statuses[Status Value], 7, FALSE) - VLOOKUP(_web2_gap[[#This Row],[2023 Status]], _statuses[Status Level]:_statuses[Status Value], 7, FALSE))),
"Error in Calculation")
))</f>
        <v>0</v>
      </c>
    </row>
    <row r="25" spans="1:10" x14ac:dyDescent="0.35">
      <c r="B25" s="1"/>
      <c r="C25" s="1"/>
      <c r="D25" s="1"/>
      <c r="E25" s="1"/>
      <c r="F25" s="1"/>
    </row>
    <row r="26" spans="1:10" x14ac:dyDescent="0.35">
      <c r="B26" s="1"/>
      <c r="C26" s="1"/>
      <c r="D26" s="1"/>
      <c r="E26" s="1"/>
      <c r="F26" s="1"/>
    </row>
    <row r="27" spans="1:10" ht="19" customHeight="1" thickBot="1" x14ac:dyDescent="0.4">
      <c r="A27" s="1" t="s">
        <v>3</v>
      </c>
      <c r="B27" s="1" t="s">
        <v>4</v>
      </c>
      <c r="C27" s="1" t="s">
        <v>5</v>
      </c>
      <c r="D27" s="1" t="s">
        <v>238</v>
      </c>
      <c r="E27" s="1" t="s">
        <v>6</v>
      </c>
      <c r="F27" s="1" t="s">
        <v>7</v>
      </c>
      <c r="G27" s="1" t="s">
        <v>8</v>
      </c>
      <c r="H27" s="1" t="s">
        <v>10</v>
      </c>
      <c r="I27" s="1" t="s">
        <v>11</v>
      </c>
      <c r="J27" s="1" t="s">
        <v>590</v>
      </c>
    </row>
    <row r="28" spans="1:10" ht="121" customHeight="1" x14ac:dyDescent="0.35">
      <c r="A28" s="174" t="str" cm="1">
        <f t="array" ref="A28">IFERROR(INDEX(_web03[Goal '#], SMALL(IF(_web03[Success Indicator]&lt;&gt; "Removed", ROW(_web03[Goal '#])-ROW(INDEX(_web03[Goal '#],1,1))+1), ROW(1:1))), "") &amp; ""</f>
        <v>3.1</v>
      </c>
      <c r="B28" s="1" t="str" cm="1">
        <f t="array" ref="B28">IFERROR(INDEX(_web03[Success Indicator], SMALL(IF(_web03[Success Indicator]&lt;&gt; "Removed", ROW(_web03[Success Indicator])-ROW(INDEX(_web03[Success Indicator],1,1))+1), ROW(1:1))), "") &amp; ""</f>
        <v>Assigned authority and responsibility to a body (person(s) or business entity) for the process of ensuring updates and maintenance to websites and applications (web or mobile) are compliant.</v>
      </c>
      <c r="C28" s="1" t="str" cm="1">
        <f t="array" ref="C28">IFERROR(INDEX(_web03[Department Stakeholder?], SMALL(IF(_web03[Success Indicator]&lt;&gt; "Removed", ROW(_web03[Department Stakeholder?])-ROW(INDEX(_web03[Department Stakeholder?],1,1))+1), ROW(1:1))), "") &amp; ""</f>
        <v>Web Accessibility Coordinator</v>
      </c>
      <c r="D28" s="1" t="str" cm="1">
        <f t="array" ref="D28">IFERROR(INDEX(_web03[2021 Status], SMALL(IF(_web03[Success Indicator]&lt;&gt; "Removed", ROW(_web03[2021 Status])-ROW(INDEX(_web03[2021 Status],1,1))+1), ROW(1:1))), "") &amp; ""</f>
        <v>Established</v>
      </c>
      <c r="E28" s="1" t="str" cm="1">
        <f t="array" ref="E28">IFERROR(INDEX(_web03[2021 Evidence], SMALL(IF(_web03[Success Indicator]&lt;&gt; "Removed", ROW(_web03[2021 Evidence])-ROW(INDEX(_web03[2021 Evidence],1,1))+1), ROW(1:1))), "") &amp; ""</f>
        <v>Web Accessibility Coordinator http://access.sfsu.edu/ati/webaccess/monitor Process document in department share (https://sfsu.box.com/s/bsky7ph9alkefa7s8un3ksfc8lmyeb6i</v>
      </c>
      <c r="F28" s="174" t="s">
        <v>72</v>
      </c>
      <c r="G28" s="1" t="s">
        <v>42</v>
      </c>
      <c r="H28" s="1" t="s">
        <v>636</v>
      </c>
      <c r="I28" s="1" t="s">
        <v>73</v>
      </c>
      <c r="J28" s="192">
        <f>IF(ISBLANK(_web3_gap[[#This Row],[2023 Status]]), "2023 Status Empty",
IF(_web3_gap[[#This Row],[2023 Status]] = "Not Started", -5,
IFERROR(
    IF(VLOOKUP(_web3_gap[[#This Row],[2021 Status]], _statuses[Status Level]:_statuses[Status Value], 7, FALSE) &gt; VLOOKUP(_web3_gap[[#This Row],[2023 Status]], _statuses[Status Level]:_statuses[Status Value], 7, FALSE),
    -ABS(VLOOKUP(_web3_gap[[#This Row],[2021 Status]], _statuses[Status Level]:_statuses[Status Value], 7, FALSE) - VLOOKUP(_web3_gap[[#This Row],[2023 Status]], _statuses[Status Level]:_statuses[Status Value], 7, FALSE)),
    ABS(VLOOKUP(_web3_gap[[#This Row],[2021 Status]], _statuses[Status Level]:_statuses[Status Value], 7, FALSE) - VLOOKUP(_web3_gap[[#This Row],[2023 Status]], _statuses[Status Level]:_statuses[Status Value], 7, FALSE))),
"Error in Calculation")
))</f>
        <v>-2</v>
      </c>
    </row>
    <row r="29" spans="1:10" ht="115" customHeight="1" x14ac:dyDescent="0.35">
      <c r="A29" s="174" t="str" cm="1">
        <f t="array" ref="A29">IFERROR(INDEX(_web03[Goal '#], SMALL(IF(_web03[Success Indicator]&lt;&gt; "Removed", ROW(_web03[Goal '#])-ROW(INDEX(_web03[Goal '#],1,1))+1), ROW(2:2))), "") &amp; ""</f>
        <v>3.2</v>
      </c>
      <c r="B29" s="1" t="str" cm="1">
        <f t="array" ref="B29">IFERROR(INDEX(_web03[Success Indicator], SMALL(IF(_web03[Success Indicator]&lt;&gt; "Removed", ROW(_web03[Success Indicator])-ROW(INDEX(_web03[Success Indicator],1,1))+1), ROW(2:2))), "") &amp; ""</f>
        <v>Developed a process to verify that any changes made to existing websites and applications (web or mobile) comply with Section 508 accessibility standards.</v>
      </c>
      <c r="C29" s="1" t="str" cm="1">
        <f t="array" ref="C29">IFERROR(INDEX(_web03[Department Stakeholder?], SMALL(IF(_web03[Success Indicator]&lt;&gt; "Removed", ROW(_web03[Department Stakeholder?])-ROW(INDEX(_web03[Department Stakeholder?],1,1))+1), ROW(2:2))), "") &amp; ""</f>
        <v>Web Accessibility Coordinator</v>
      </c>
      <c r="D29" s="1" t="str" cm="1">
        <f t="array" ref="D29">IFERROR(INDEX(_web03[2021 Status], SMALL(IF(_web03[Success Indicator]&lt;&gt; "Removed", ROW(_web03[2021 Status])-ROW(INDEX(_web03[2021 Status],1,1))+1), ROW(2:2))), "") &amp; ""</f>
        <v>Established</v>
      </c>
      <c r="E29" s="1" t="str" cm="1">
        <f t="array" ref="E29">IFERROR(INDEX(_web03[2021 Evidence], SMALL(IF(_web03[Success Indicator]&lt;&gt; "Removed", ROW(_web03[2021 Evidence])-ROW(INDEX(_web03[2021 Evidence],1,1))+1), ROW(2:2))), "") &amp; ""</f>
        <v>Web Accessibility Coordinator Process document in department share (Box\ATI\Web Accessibility\ Web_Accessibility_Process_Document_v1)</v>
      </c>
      <c r="F29" s="174"/>
      <c r="G29" s="1" t="s">
        <v>42</v>
      </c>
      <c r="H29" s="1" t="s">
        <v>637</v>
      </c>
      <c r="I29" s="1"/>
      <c r="J29" s="193">
        <f>IF(ISBLANK(_web3_gap[[#This Row],[2023 Status]]), "2023 Status Empty",
IF(_web3_gap[[#This Row],[2023 Status]] = "Not Started", -5,
IFERROR(
    IF(VLOOKUP(_web3_gap[[#This Row],[2021 Status]], _statuses[Status Level]:_statuses[Status Value], 7, FALSE) &gt; VLOOKUP(_web3_gap[[#This Row],[2023 Status]], _statuses[Status Level]:_statuses[Status Value], 7, FALSE),
    -ABS(VLOOKUP(_web3_gap[[#This Row],[2021 Status]], _statuses[Status Level]:_statuses[Status Value], 7, FALSE) - VLOOKUP(_web3_gap[[#This Row],[2023 Status]], _statuses[Status Level]:_statuses[Status Value], 7, FALSE)),
    ABS(VLOOKUP(_web3_gap[[#This Row],[2021 Status]], _statuses[Status Level]:_statuses[Status Value], 7, FALSE) - VLOOKUP(_web3_gap[[#This Row],[2023 Status]], _statuses[Status Level]:_statuses[Status Value], 7, FALSE))),
"Error in Calculation")
))</f>
        <v>-2</v>
      </c>
    </row>
    <row r="30" spans="1:10" ht="217.5" x14ac:dyDescent="0.35">
      <c r="A30" s="174" t="str" cm="1">
        <f t="array" ref="A30">IFERROR(INDEX(_web03[Goal '#], SMALL(IF(_web03[Success Indicator]&lt;&gt; "Removed", ROW(_web03[Goal '#])-ROW(INDEX(_web03[Goal '#],1,1))+1), ROW(3:3))), "") &amp; ""</f>
        <v>3.5</v>
      </c>
      <c r="B30" s="1" t="str" cm="1">
        <f t="array" ref="B30">IFERROR(INDEX(_web03[Success Indicator], SMALL(IF(_web03[Success Indicator]&lt;&gt; "Removed", ROW(_web03[Success Indicator])-ROW(INDEX(_web03[Success Indicator],1,1))+1), ROW(3:3))), "") &amp; ""</f>
        <v>Assigned authority and responsibility for the ongoing monitoring process of digital content to a body (person(s) or business entity).</v>
      </c>
      <c r="C30" s="1" t="str" cm="1">
        <f t="array" ref="C30">IFERROR(INDEX(_web03[Department Stakeholder?], SMALL(IF(_web03[Success Indicator]&lt;&gt; "Removed", ROW(_web03[Department Stakeholder?])-ROW(INDEX(_web03[Department Stakeholder?],1,1))+1), ROW(3:3))), "") &amp; ""</f>
        <v>Director of Web &amp; Mobile Applications</v>
      </c>
      <c r="D30" s="1" t="str" cm="1">
        <f t="array" ref="D30">IFERROR(INDEX(_web03[2021 Status], SMALL(IF(_web03[Success Indicator]&lt;&gt; "Removed", ROW(_web03[2021 Status])-ROW(INDEX(_web03[2021 Status],1,1))+1), ROW(3:3))), "") &amp; ""</f>
        <v>Established</v>
      </c>
      <c r="E30" s="1" t="str" cm="1">
        <f t="array" ref="E30">IFERROR(INDEX(_web03[2021 Evidence], SMALL(IF(_web03[Success Indicator]&lt;&gt; "Removed", ROW(_web03[2021 Evidence])-ROW(INDEX(_web03[2021 Evidence],1,1))+1), ROW(3:3))), "") &amp; ""</f>
        <v>Web Accessibility Coordinator Process document in department share (https://sfsu.box.com/s/bsky7ph9alkefa7s8un3ksfc8lmyeb6i)</v>
      </c>
      <c r="F30" s="174" t="s">
        <v>72</v>
      </c>
      <c r="G30" s="1" t="s">
        <v>38</v>
      </c>
      <c r="H30" s="1" t="s">
        <v>638</v>
      </c>
      <c r="I30" s="1" t="s">
        <v>73</v>
      </c>
      <c r="J30" s="193">
        <f>IF(ISBLANK(_web3_gap[[#This Row],[2023 Status]]), "2023 Status Empty",
IF(_web3_gap[[#This Row],[2023 Status]] = "Not Started", -5,
IFERROR(
    IF(VLOOKUP(_web3_gap[[#This Row],[2021 Status]], _statuses[Status Level]:_statuses[Status Value], 7, FALSE) &gt; VLOOKUP(_web3_gap[[#This Row],[2023 Status]], _statuses[Status Level]:_statuses[Status Value], 7, FALSE),
    -ABS(VLOOKUP(_web3_gap[[#This Row],[2021 Status]], _statuses[Status Level]:_statuses[Status Value], 7, FALSE) - VLOOKUP(_web3_gap[[#This Row],[2023 Status]], _statuses[Status Level]:_statuses[Status Value], 7, FALSE)),
    ABS(VLOOKUP(_web3_gap[[#This Row],[2021 Status]], _statuses[Status Level]:_statuses[Status Value], 7, FALSE) - VLOOKUP(_web3_gap[[#This Row],[2023 Status]], _statuses[Status Level]:_statuses[Status Value], 7, FALSE))),
"Error in Calculation")
))</f>
        <v>-1</v>
      </c>
    </row>
    <row r="31" spans="1:10" ht="102" thickBot="1" x14ac:dyDescent="0.4">
      <c r="A31" s="174" t="str" cm="1">
        <f t="array" ref="A31">IFERROR(INDEX(_web03[Goal '#], SMALL(IF(_web03[Success Indicator]&lt;&gt; "Removed", ROW(_web03[Goal '#])-ROW(INDEX(_web03[Goal '#],1,1))+1), ROW(4:4))), "") &amp; ""</f>
        <v>3.6</v>
      </c>
      <c r="B31" s="1" t="str" cm="1">
        <f t="array" ref="B31">IFERROR(INDEX(_web03[Success Indicator], SMALL(IF(_web03[Success Indicator]&lt;&gt; "Removed", ROW(_web03[Success Indicator])-ROW(INDEX(_web03[Success Indicator],1,1))+1), ROW(4:4))), "") &amp; ""</f>
        <v>Developed a process to verify that any changes made to existing digital content: documents (word processor produced, spreadsheets, presentations, PDFs) comply with Section 508 accessibility standards.</v>
      </c>
      <c r="C31" s="1" t="str" cm="1">
        <f t="array" ref="C31">IFERROR(INDEX(_web03[Department Stakeholder?], SMALL(IF(_web03[Success Indicator]&lt;&gt; "Removed", ROW(_web03[Department Stakeholder?])-ROW(INDEX(_web03[Department Stakeholder?],1,1))+1), ROW(4:4))), "") &amp; ""</f>
        <v>Web Accessibility Coordinator</v>
      </c>
      <c r="D31" s="1" t="str" cm="1">
        <f t="array" ref="D31">IFERROR(INDEX(_web03[2021 Status], SMALL(IF(_web03[Success Indicator]&lt;&gt; "Removed", ROW(_web03[2021 Status])-ROW(INDEX(_web03[2021 Status],1,1))+1), ROW(4:4))), "") &amp; ""</f>
        <v>Established</v>
      </c>
      <c r="E31" s="1" t="str" cm="1">
        <f t="array" ref="E31">IFERROR(INDEX(_web03[2021 Evidence], SMALL(IF(_web03[Success Indicator]&lt;&gt; "Removed", ROW(_web03[2021 Evidence])-ROW(INDEX(_web03[2021 Evidence],1,1))+1), ROW(4:4))), "") &amp; ""</f>
        <v>Web Accessibility Coordinator Process document in department share (https://sfsu.box.com/s/bsky7ph9alkefa7s8un3ksfc8lmyeb6i)</v>
      </c>
      <c r="F31" s="174" t="s">
        <v>202</v>
      </c>
      <c r="G31" s="1" t="s">
        <v>15</v>
      </c>
      <c r="H31" s="1" t="s">
        <v>639</v>
      </c>
      <c r="I31" s="1"/>
      <c r="J31" s="194">
        <f>IF(ISBLANK(_web3_gap[[#This Row],[2023 Status]]), "2023 Status Empty",
IF(_web3_gap[[#This Row],[2023 Status]] = "Not Started", -5,
IFERROR(
    IF(VLOOKUP(_web3_gap[[#This Row],[2021 Status]], _statuses[Status Level]:_statuses[Status Value], 7, FALSE) &gt; VLOOKUP(_web3_gap[[#This Row],[2023 Status]], _statuses[Status Level]:_statuses[Status Value], 7, FALSE),
    -ABS(VLOOKUP(_web3_gap[[#This Row],[2021 Status]], _statuses[Status Level]:_statuses[Status Value], 7, FALSE) - VLOOKUP(_web3_gap[[#This Row],[2023 Status]], _statuses[Status Level]:_statuses[Status Value], 7, FALSE)),
    ABS(VLOOKUP(_web3_gap[[#This Row],[2021 Status]], _statuses[Status Level]:_statuses[Status Value], 7, FALSE) - VLOOKUP(_web3_gap[[#This Row],[2023 Status]], _statuses[Status Level]:_statuses[Status Value], 7, FALSE))),
"Error in Calculation")
))</f>
        <v>-5</v>
      </c>
    </row>
    <row r="32" spans="1:10" x14ac:dyDescent="0.35">
      <c r="A32" s="1"/>
      <c r="B32" s="1"/>
      <c r="C32" s="1"/>
      <c r="D32" s="1"/>
      <c r="E32" s="1"/>
      <c r="F32" s="1"/>
      <c r="G32" s="1"/>
      <c r="H32" s="1"/>
      <c r="I32" s="1"/>
      <c r="J32" s="1"/>
    </row>
    <row r="34" spans="1:10" ht="19" customHeight="1" x14ac:dyDescent="0.35">
      <c r="A34" s="1"/>
      <c r="B34" s="1"/>
      <c r="C34" s="1"/>
      <c r="D34" s="1"/>
      <c r="E34" s="1"/>
      <c r="F34" s="1"/>
      <c r="G34" s="1"/>
      <c r="H34" s="1"/>
      <c r="I34" s="1"/>
      <c r="J34" s="1"/>
    </row>
    <row r="35" spans="1:10" ht="19" customHeight="1" thickBot="1" x14ac:dyDescent="0.4">
      <c r="A35" s="1" t="s">
        <v>3</v>
      </c>
      <c r="B35" s="1" t="s">
        <v>4</v>
      </c>
      <c r="C35" s="1" t="s">
        <v>5</v>
      </c>
      <c r="D35" s="1" t="s">
        <v>238</v>
      </c>
      <c r="E35" s="1" t="s">
        <v>6</v>
      </c>
      <c r="F35" s="1" t="s">
        <v>7</v>
      </c>
      <c r="G35" s="1" t="s">
        <v>8</v>
      </c>
      <c r="H35" s="1" t="s">
        <v>10</v>
      </c>
      <c r="I35" s="1" t="s">
        <v>11</v>
      </c>
      <c r="J35" s="1" t="s">
        <v>590</v>
      </c>
    </row>
    <row r="36" spans="1:10" ht="121" customHeight="1" x14ac:dyDescent="0.35">
      <c r="A36" s="174" t="str" cm="1">
        <f t="array" ref="A36">IFERROR(INDEX(_web05[Goal '#], SMALL(IF(_web05[Success Indicator]&lt;&gt; "Removed", ROW(_web05[Goal '#])-ROW(INDEX(_web05[Goal '#],1,1))+1), ROW(1:1))), "") &amp; ""</f>
        <v>5.1</v>
      </c>
      <c r="B36" s="1" t="str" cm="1">
        <f t="array" ref="B36">IFERROR(INDEX(_web05[Success Indicator], SMALL(IF(_web05[Success Indicator]&lt;&gt; "Removed", ROW(_web05[Success Indicator])-ROW(INDEX(_web05[Success Indicator],1,1))+1), ROW(1:1))), "") &amp; ""</f>
        <v>Assigned authority and responsibility for the training process of web development and application development to a body (person(s) or business entity).</v>
      </c>
      <c r="C36" s="1" t="str" cm="1">
        <f t="array" ref="C36">IFERROR(INDEX(_web05[Department Stakeholder?], SMALL(IF(_web05[Success Indicator]&lt;&gt; "Removed", ROW(_web05[Department Stakeholder?])-ROW(INDEX(_web05[Department Stakeholder?],1,1))+1), ROW(1:1))), "") &amp; ""</f>
        <v>Web Accessibility Coordinator</v>
      </c>
      <c r="D36" s="1" t="str" cm="1">
        <f t="array" ref="D36">IFERROR(INDEX(_web05[2021 Status], SMALL(IF(_web05[Success Indicator]&lt;&gt; "Removed", ROW(_web05[2021 Status])-ROW(INDEX(_web05[2021 Status],1,1))+1), ROW(1:1))), "") &amp; ""</f>
        <v>Established</v>
      </c>
      <c r="E36" s="1" t="str" cm="1">
        <f t="array" ref="E36">IFERROR(INDEX(_web05[2021 Evidence], SMALL(IF(_web05[Success Indicator]&lt;&gt; "Removed", ROW(_web05[2021 Evidence])-ROW(INDEX(_web05[2021 Evidence],1,1))+1), ROW(1:1))), "") &amp; ""</f>
        <v>Web Accessibility Coordinator Process document in department share (https://sfsu.box.com/s/bsky7ph9alkefa7s8un3ksfc8lmyeb6i)</v>
      </c>
      <c r="F36" s="174" t="s">
        <v>204</v>
      </c>
      <c r="G36" s="1" t="s">
        <v>33</v>
      </c>
      <c r="H36" s="1"/>
      <c r="I36" s="1"/>
      <c r="J36" s="192">
        <f>IF(ISBLANK(_web5_gap[[#This Row],[2023 Status]]), "2023 Status Empty",
IF(_web5_gap[[#This Row],[2023 Status]] = "Not Started", -5,
IFERROR(
    IF(VLOOKUP(_web5_gap[[#This Row],[2021 Status]], _statuses[Status Level]:_statuses[Status Value], 7, FALSE) &gt; VLOOKUP(_web5_gap[[#This Row],[2023 Status]], _statuses[Status Level]:_statuses[Status Value], 7, FALSE),
    -ABS(VLOOKUP(_web5_gap[[#This Row],[2021 Status]], _statuses[Status Level]:_statuses[Status Value], 7, FALSE) - VLOOKUP(_web5_gap[[#This Row],[2023 Status]], _statuses[Status Level]:_statuses[Status Value], 7, FALSE)),
    ABS(VLOOKUP(_web5_gap[[#This Row],[2021 Status]], _statuses[Status Level]:_statuses[Status Value], 7, FALSE) - VLOOKUP(_web5_gap[[#This Row],[2023 Status]], _statuses[Status Level]:_statuses[Status Value], 7, FALSE))),
"Error in Calculation")
))</f>
        <v>0</v>
      </c>
    </row>
    <row r="37" spans="1:10" ht="115" customHeight="1" x14ac:dyDescent="0.35">
      <c r="A37" s="174" t="str" cm="1">
        <f t="array" ref="A37">IFERROR(INDEX(_web05[Goal '#], SMALL(IF(_web05[Success Indicator]&lt;&gt; "Removed", ROW(_web05[Goal '#])-ROW(INDEX(_web05[Goal '#],1,1))+1), ROW(2:2))), "") &amp; ""</f>
        <v>5.2</v>
      </c>
      <c r="B37" s="1" t="str" cm="1">
        <f t="array" ref="B37">IFERROR(INDEX(_web05[Success Indicator], SMALL(IF(_web05[Success Indicator]&lt;&gt; "Removed", ROW(_web05[Success Indicator])-ROW(INDEX(_web05[Success Indicator],1,1))+1), ROW(2:2))), "") &amp; ""</f>
        <v>Assigned authority and responsibility for the training process of digital content development to a body (person(s) or business entity).</v>
      </c>
      <c r="C37" s="1" t="str" cm="1">
        <f t="array" ref="C37">IFERROR(INDEX(_web05[Department Stakeholder?], SMALL(IF(_web05[Success Indicator]&lt;&gt; "Removed", ROW(_web05[Department Stakeholder?])-ROW(INDEX(_web05[Department Stakeholder?],1,1))+1), ROW(2:2))), "") &amp; ""</f>
        <v>Web Accessibility Coordinator</v>
      </c>
      <c r="D37" s="1" t="str" cm="1">
        <f t="array" ref="D37">IFERROR(INDEX(_web05[2021 Status], SMALL(IF(_web05[Success Indicator]&lt;&gt; "Removed", ROW(_web05[2021 Status])-ROW(INDEX(_web05[2021 Status],1,1))+1), ROW(2:2))), "") &amp; ""</f>
        <v>Established</v>
      </c>
      <c r="E37" s="1" t="str" cm="1">
        <f t="array" ref="E37">IFERROR(INDEX(_web05[2021 Evidence], SMALL(IF(_web05[Success Indicator]&lt;&gt; "Removed", ROW(_web05[2021 Evidence])-ROW(INDEX(_web05[2021 Evidence],1,1))+1), ROW(2:2))), "") &amp; ""</f>
        <v>Web Accessibility Coordinator Process document in department share (https://sfsu.box.com/s/bsky7ph9alkefa7s8un3ksfc8lmyeb6i)</v>
      </c>
      <c r="F37" s="174" t="s">
        <v>204</v>
      </c>
      <c r="G37" s="1" t="s">
        <v>42</v>
      </c>
      <c r="H37" s="1"/>
      <c r="I37" s="1"/>
      <c r="J37" s="193">
        <f>IF(ISBLANK(_web5_gap[[#This Row],[2023 Status]]), "2023 Status Empty",
IF(_web5_gap[[#This Row],[2023 Status]] = "Not Started", -5,
IFERROR(
    IF(VLOOKUP(_web5_gap[[#This Row],[2021 Status]], _statuses[Status Level]:_statuses[Status Value], 7, FALSE) &gt; VLOOKUP(_web5_gap[[#This Row],[2023 Status]], _statuses[Status Level]:_statuses[Status Value], 7, FALSE),
    -ABS(VLOOKUP(_web5_gap[[#This Row],[2021 Status]], _statuses[Status Level]:_statuses[Status Value], 7, FALSE) - VLOOKUP(_web5_gap[[#This Row],[2023 Status]], _statuses[Status Level]:_statuses[Status Value], 7, FALSE)),
    ABS(VLOOKUP(_web5_gap[[#This Row],[2021 Status]], _statuses[Status Level]:_statuses[Status Value], 7, FALSE) - VLOOKUP(_web5_gap[[#This Row],[2023 Status]], _statuses[Status Level]:_statuses[Status Value], 7, FALSE))),
"Error in Calculation")
))</f>
        <v>-2</v>
      </c>
    </row>
    <row r="38" spans="1:10" ht="58" x14ac:dyDescent="0.35">
      <c r="A38" s="174" t="str" cm="1">
        <f t="array" ref="A38">IFERROR(INDEX(_web05[Goal '#], SMALL(IF(_web05[Success Indicator]&lt;&gt; "Removed", ROW(_web05[Goal '#])-ROW(INDEX(_web05[Goal '#],1,1))+1), ROW(3:3))), "") &amp; ""</f>
        <v>5.4</v>
      </c>
      <c r="B38" s="1" t="str" cm="1">
        <f t="array" ref="B38">IFERROR(INDEX(_web05[Success Indicator], SMALL(IF(_web05[Success Indicator]&lt;&gt; "Removed", ROW(_web05[Success Indicator])-ROW(INDEX(_web05[Success Indicator],1,1))+1), ROW(3:3))), "") &amp; ""</f>
        <v>Developed a training process on accessibility for web/mobile developers and designers, to include Section 508 standards and the campus monitoring process.</v>
      </c>
      <c r="C38" s="1" t="str" cm="1">
        <f t="array" ref="C38">IFERROR(INDEX(_web05[Department Stakeholder?], SMALL(IF(_web05[Success Indicator]&lt;&gt; "Removed", ROW(_web05[Department Stakeholder?])-ROW(INDEX(_web05[Department Stakeholder?],1,1))+1), ROW(3:3))), "") &amp; ""</f>
        <v>Web Accessibility Coordinator</v>
      </c>
      <c r="D38" s="1" t="str" cm="1">
        <f t="array" ref="D38">IFERROR(INDEX(_web05[2021 Status], SMALL(IF(_web05[Success Indicator]&lt;&gt; "Removed", ROW(_web05[2021 Status])-ROW(INDEX(_web05[2021 Status],1,1))+1), ROW(3:3))), "") &amp; ""</f>
        <v>Established</v>
      </c>
      <c r="E38" s="1" t="str" cm="1">
        <f t="array" ref="E38">IFERROR(INDEX(_web05[2021 Evidence], SMALL(IF(_web05[Success Indicator]&lt;&gt; "Removed", ROW(_web05[2021 Evidence])-ROW(INDEX(_web05[2021 Evidence],1,1))+1), ROW(3:3))), "") &amp; ""</f>
        <v>Web Accessibility Coordinator Process document in department share (https://sfsu.box.com/s/bsky7ph9alkefa7s8un3ksfc8lmyeb6i)</v>
      </c>
      <c r="F38" s="174" t="s">
        <v>207</v>
      </c>
      <c r="G38" s="1" t="s">
        <v>42</v>
      </c>
      <c r="H38" s="1"/>
      <c r="I38" s="1" t="s">
        <v>208</v>
      </c>
      <c r="J38" s="193">
        <f>IF(ISBLANK(_web5_gap[[#This Row],[2023 Status]]), "2023 Status Empty",
IF(_web5_gap[[#This Row],[2023 Status]] = "Not Started", -5,
IFERROR(
    IF(VLOOKUP(_web5_gap[[#This Row],[2021 Status]], _statuses[Status Level]:_statuses[Status Value], 7, FALSE) &gt; VLOOKUP(_web5_gap[[#This Row],[2023 Status]], _statuses[Status Level]:_statuses[Status Value], 7, FALSE),
    -ABS(VLOOKUP(_web5_gap[[#This Row],[2021 Status]], _statuses[Status Level]:_statuses[Status Value], 7, FALSE) - VLOOKUP(_web5_gap[[#This Row],[2023 Status]], _statuses[Status Level]:_statuses[Status Value], 7, FALSE)),
    ABS(VLOOKUP(_web5_gap[[#This Row],[2021 Status]], _statuses[Status Level]:_statuses[Status Value], 7, FALSE) - VLOOKUP(_web5_gap[[#This Row],[2023 Status]], _statuses[Status Level]:_statuses[Status Value], 7, FALSE))),
"Error in Calculation")
))</f>
        <v>-2</v>
      </c>
    </row>
    <row r="39" spans="1:10" ht="116" x14ac:dyDescent="0.35">
      <c r="A39" s="174" t="str" cm="1">
        <f t="array" ref="A39">IFERROR(INDEX(_web05[Goal '#], SMALL(IF(_web05[Success Indicator]&lt;&gt; "Removed", ROW(_web05[Goal '#])-ROW(INDEX(_web05[Goal '#],1,1))+1), ROW(4:4))), "") &amp; ""</f>
        <v>5.5</v>
      </c>
      <c r="B39" s="1" t="str" cm="1">
        <f t="array" ref="B39">IFERROR(INDEX(_web05[Success Indicator], SMALL(IF(_web05[Success Indicator]&lt;&gt; "Removed", ROW(_web05[Success Indicator])-ROW(INDEX(_web05[Success Indicator],1,1))+1), ROW(4:4))), "") &amp; ""</f>
        <v>Developed a training process on accessibility for web content contributors, to include Section 508 standards and the campus monitoring process.</v>
      </c>
      <c r="C39" s="1" t="str" cm="1">
        <f t="array" ref="C39">IFERROR(INDEX(_web05[Department Stakeholder?], SMALL(IF(_web05[Success Indicator]&lt;&gt; "Removed", ROW(_web05[Department Stakeholder?])-ROW(INDEX(_web05[Department Stakeholder?],1,1))+1), ROW(4:4))), "") &amp; ""</f>
        <v>Web Accessibility Coordinator</v>
      </c>
      <c r="D39" s="1" t="str" cm="1">
        <f t="array" ref="D39">IFERROR(INDEX(_web05[2021 Status], SMALL(IF(_web05[Success Indicator]&lt;&gt; "Removed", ROW(_web05[2021 Status])-ROW(INDEX(_web05[2021 Status],1,1))+1), ROW(4:4))), "") &amp; ""</f>
        <v>Established</v>
      </c>
      <c r="E39" s="1" t="str" cm="1">
        <f t="array" ref="E39">IFERROR(INDEX(_web05[2021 Evidence], SMALL(IF(_web05[Success Indicator]&lt;&gt; "Removed", ROW(_web05[2021 Evidence])-ROW(INDEX(_web05[2021 Evidence],1,1))+1), ROW(4:4))), "") &amp; ""</f>
        <v>Web Accessibility; Analyst/Programmer Coordinator Process document in department share (https://sfsu.box.com/s/bsky7ph9alkefa7s8un3ksfc8lmyeb6i)</v>
      </c>
      <c r="F39" s="174" t="s">
        <v>207</v>
      </c>
      <c r="G39" s="1" t="s">
        <v>42</v>
      </c>
      <c r="H39" s="1"/>
      <c r="I39" s="1" t="s">
        <v>208</v>
      </c>
      <c r="J39" s="193">
        <f>IF(ISBLANK(_web5_gap[[#This Row],[2023 Status]]), "2023 Status Empty",
IF(_web5_gap[[#This Row],[2023 Status]] = "Not Started", -5,
IFERROR(
    IF(VLOOKUP(_web5_gap[[#This Row],[2021 Status]], _statuses[Status Level]:_statuses[Status Value], 7, FALSE) &gt; VLOOKUP(_web5_gap[[#This Row],[2023 Status]], _statuses[Status Level]:_statuses[Status Value], 7, FALSE),
    -ABS(VLOOKUP(_web5_gap[[#This Row],[2021 Status]], _statuses[Status Level]:_statuses[Status Value], 7, FALSE) - VLOOKUP(_web5_gap[[#This Row],[2023 Status]], _statuses[Status Level]:_statuses[Status Value], 7, FALSE)),
    ABS(VLOOKUP(_web5_gap[[#This Row],[2021 Status]], _statuses[Status Level]:_statuses[Status Value], 7, FALSE) - VLOOKUP(_web5_gap[[#This Row],[2023 Status]], _statuses[Status Level]:_statuses[Status Value], 7, FALSE))),
"Error in Calculation")
))</f>
        <v>-2</v>
      </c>
    </row>
    <row r="40" spans="1:10" ht="101.5" x14ac:dyDescent="0.35">
      <c r="A40" s="174" t="str" cm="1">
        <f t="array" ref="A40">IFERROR(INDEX(_web05[Goal '#], SMALL(IF(_web05[Success Indicator]&lt;&gt; "Removed", ROW(_web05[Goal '#])-ROW(INDEX(_web05[Goal '#],1,1))+1), ROW(5:5))), "") &amp; ""</f>
        <v>5.6</v>
      </c>
      <c r="B40" s="1" t="str" cm="1">
        <f t="array" ref="B40">IFERROR(INDEX(_web05[Success Indicator], SMALL(IF(_web05[Success Indicator]&lt;&gt; "Removed", ROW(_web05[Success Indicator])-ROW(INDEX(_web05[Success Indicator],1,1))+1), ROW(5:5))), "") &amp; ""</f>
        <v>Developed a training process on accessibility for digital content: documents (word processor produced, spreadsheets, presentations, PDF), to include Section 508 standards and the campus monitoring process.</v>
      </c>
      <c r="C40" s="1" t="str" cm="1">
        <f t="array" ref="C40">IFERROR(INDEX(_web05[Department Stakeholder?], SMALL(IF(_web05[Success Indicator]&lt;&gt; "Removed", ROW(_web05[Department Stakeholder?])-ROW(INDEX(_web05[Department Stakeholder?],1,1))+1), ROW(5:5))), "") &amp; ""</f>
        <v>Web Accessibility Coordinator</v>
      </c>
      <c r="D40" s="1" t="str" cm="1">
        <f t="array" ref="D40">IFERROR(INDEX(_web05[2021 Status], SMALL(IF(_web05[Success Indicator]&lt;&gt; "Removed", ROW(_web05[2021 Status])-ROW(INDEX(_web05[2021 Status],1,1))+1), ROW(5:5))), "") &amp; ""</f>
        <v>Established</v>
      </c>
      <c r="E40" s="1" t="str" cm="1">
        <f t="array" ref="E40">IFERROR(INDEX(_web05[2021 Evidence], SMALL(IF(_web05[Success Indicator]&lt;&gt; "Removed", ROW(_web05[2021 Evidence])-ROW(INDEX(_web05[2021 Evidence],1,1))+1), ROW(5:5))), "") &amp; ""</f>
        <v>Web Accessibility Coordinator Process document in department share (https://sfsu.box.com/s/bsky7ph9alkefa7s8un3ksfc8lmyeb6i)</v>
      </c>
      <c r="F40" s="174" t="s">
        <v>207</v>
      </c>
      <c r="G40" s="1" t="s">
        <v>42</v>
      </c>
      <c r="H40" s="1"/>
      <c r="I40" s="1" t="s">
        <v>208</v>
      </c>
      <c r="J40" s="193">
        <f>IF(ISBLANK(_web5_gap[[#This Row],[2023 Status]]), "2023 Status Empty",
IF(_web5_gap[[#This Row],[2023 Status]] = "Not Started", -5,
IFERROR(
    IF(VLOOKUP(_web5_gap[[#This Row],[2021 Status]], _statuses[Status Level]:_statuses[Status Value], 7, FALSE) &gt; VLOOKUP(_web5_gap[[#This Row],[2023 Status]], _statuses[Status Level]:_statuses[Status Value], 7, FALSE),
    -ABS(VLOOKUP(_web5_gap[[#This Row],[2021 Status]], _statuses[Status Level]:_statuses[Status Value], 7, FALSE) - VLOOKUP(_web5_gap[[#This Row],[2023 Status]], _statuses[Status Level]:_statuses[Status Value], 7, FALSE)),
    ABS(VLOOKUP(_web5_gap[[#This Row],[2021 Status]], _statuses[Status Level]:_statuses[Status Value], 7, FALSE) - VLOOKUP(_web5_gap[[#This Row],[2023 Status]], _statuses[Status Level]:_statuses[Status Value], 7, FALSE))),
"Error in Calculation")
))</f>
        <v>-2</v>
      </c>
    </row>
    <row r="41" spans="1:10" ht="101.5" x14ac:dyDescent="0.35">
      <c r="A41" s="174" t="str" cm="1">
        <f t="array" ref="A41">IFERROR(INDEX(_web05[Goal '#], SMALL(IF(_web05[Success Indicator]&lt;&gt; "Removed", ROW(_web05[Goal '#])-ROW(INDEX(_web05[Goal '#],1,1))+1), ROW(6:6))), "") &amp; ""</f>
        <v>5.7</v>
      </c>
      <c r="B41" s="1" t="str" cm="1">
        <f t="array" ref="B41">IFERROR(INDEX(_web05[Success Indicator], SMALL(IF(_web05[Success Indicator]&lt;&gt; "Removed", ROW(_web05[Success Indicator])-ROW(INDEX(_web05[Success Indicator],1,1))+1), ROW(6:6))), "") &amp; ""</f>
        <v>Developed a training process on accessibility for digital content: video and audio asset publishers, to include Section 508 standards and the campus monitoring process.</v>
      </c>
      <c r="C41" s="1" t="str" cm="1">
        <f t="array" ref="C41">IFERROR(INDEX(_web05[Department Stakeholder?], SMALL(IF(_web05[Success Indicator]&lt;&gt; "Removed", ROW(_web05[Department Stakeholder?])-ROW(INDEX(_web05[Department Stakeholder?],1,1))+1), ROW(6:6))), "") &amp; ""</f>
        <v>Web Accessibility Coordinator</v>
      </c>
      <c r="D41" s="1" t="str" cm="1">
        <f t="array" ref="D41">IFERROR(INDEX(_web05[2021 Status], SMALL(IF(_web05[Success Indicator]&lt;&gt; "Removed", ROW(_web05[2021 Status])-ROW(INDEX(_web05[2021 Status],1,1))+1), ROW(6:6))), "") &amp; ""</f>
        <v>Established</v>
      </c>
      <c r="E41" s="1" t="str" cm="1">
        <f t="array" ref="E41">IFERROR(INDEX(_web05[2021 Evidence], SMALL(IF(_web05[Success Indicator]&lt;&gt; "Removed", ROW(_web05[2021 Evidence])-ROW(INDEX(_web05[2021 Evidence],1,1))+1), ROW(6:6))), "") &amp; ""</f>
        <v>Web Accessibility Coordinator Process document in department share (https://sfsu.box.com/s/bsky7ph9alkefa7s8un3ksfc8lmyeb6i)</v>
      </c>
      <c r="F41" s="174" t="s">
        <v>207</v>
      </c>
      <c r="G41" s="1" t="s">
        <v>42</v>
      </c>
      <c r="H41" s="1"/>
      <c r="I41" s="1" t="s">
        <v>208</v>
      </c>
      <c r="J41" s="193">
        <f>IF(ISBLANK(_web5_gap[[#This Row],[2023 Status]]), "2023 Status Empty",
IF(_web5_gap[[#This Row],[2023 Status]] = "Not Started", -5,
IFERROR(
    IF(VLOOKUP(_web5_gap[[#This Row],[2021 Status]], _statuses[Status Level]:_statuses[Status Value], 7, FALSE) &gt; VLOOKUP(_web5_gap[[#This Row],[2023 Status]], _statuses[Status Level]:_statuses[Status Value], 7, FALSE),
    -ABS(VLOOKUP(_web5_gap[[#This Row],[2021 Status]], _statuses[Status Level]:_statuses[Status Value], 7, FALSE) - VLOOKUP(_web5_gap[[#This Row],[2023 Status]], _statuses[Status Level]:_statuses[Status Value], 7, FALSE)),
    ABS(VLOOKUP(_web5_gap[[#This Row],[2021 Status]], _statuses[Status Level]:_statuses[Status Value], 7, FALSE) - VLOOKUP(_web5_gap[[#This Row],[2023 Status]], _statuses[Status Level]:_statuses[Status Value], 7, FALSE))),
"Error in Calculation")
))</f>
        <v>-2</v>
      </c>
    </row>
    <row r="42" spans="1:10" ht="130.5" x14ac:dyDescent="0.35">
      <c r="A42" s="174" t="str" cm="1">
        <f t="array" ref="A42">IFERROR(INDEX(_web05[Goal '#], SMALL(IF(_web05[Success Indicator]&lt;&gt; "Removed", ROW(_web05[Goal '#])-ROW(INDEX(_web05[Goal '#],1,1))+1), ROW(7:7))), "") &amp; ""</f>
        <v>5.12</v>
      </c>
      <c r="B42" s="1" t="str" cm="1">
        <f t="array" ref="B42">IFERROR(INDEX(_web05[Success Indicator], SMALL(IF(_web05[Success Indicator]&lt;&gt; "Removed", ROW(_web05[Success Indicator])-ROW(INDEX(_web05[Success Indicator],1,1))+1), ROW(7:7))), "") &amp; ""</f>
        <v>(NEW) Developed a training process on accessibility for social media content.</v>
      </c>
      <c r="C42" s="1" t="str" cm="1">
        <f t="array" ref="C42">IFERROR(INDEX(_web05[Department Stakeholder?], SMALL(IF(_web05[Success Indicator]&lt;&gt; "Removed", ROW(_web05[Department Stakeholder?])-ROW(INDEX(_web05[Department Stakeholder?],1,1))+1), ROW(7:7))), "") &amp; ""</f>
        <v>Web Accessibility Coordinator</v>
      </c>
      <c r="D42" s="1" t="str" cm="1">
        <f t="array" ref="D42">IFERROR(INDEX(_web05[2021 Status], SMALL(IF(_web05[Success Indicator]&lt;&gt; "Removed", ROW(_web05[2021 Status])-ROW(INDEX(_web05[2021 Status],1,1))+1), ROW(7:7))), "") &amp; ""</f>
        <v>Established</v>
      </c>
      <c r="E42" s="1" t="str" cm="1">
        <f t="array" ref="E42">IFERROR(INDEX(_web05[2021 Evidence], SMALL(IF(_web05[Success Indicator]&lt;&gt; "Removed", ROW(_web05[2021 Evidence])-ROW(INDEX(_web05[2021 Evidence],1,1))+1), ROW(7:7))), "") &amp; ""</f>
        <v xml:space="preserve">Web Accessibility Coordinator Process document in department share (https://sfsu.box.com/s/bsky7ph9alkefa7s8un3ksfc8lmyeb6i) https://access.sfsu.edu/ati/social/ </v>
      </c>
      <c r="F42" s="174" t="s">
        <v>207</v>
      </c>
      <c r="G42" s="1" t="s">
        <v>42</v>
      </c>
      <c r="H42" s="1"/>
      <c r="I42" s="1" t="s">
        <v>208</v>
      </c>
      <c r="J42" s="193">
        <f>IF(ISBLANK(_web5_gap[[#This Row],[2023 Status]]), "2023 Status Empty",
IF(_web5_gap[[#This Row],[2023 Status]] = "Not Started", -5,
IFERROR(
    IF(VLOOKUP(_web5_gap[[#This Row],[2021 Status]], _statuses[Status Level]:_statuses[Status Value], 7, FALSE) &gt; VLOOKUP(_web5_gap[[#This Row],[2023 Status]], _statuses[Status Level]:_statuses[Status Value], 7, FALSE),
    -ABS(VLOOKUP(_web5_gap[[#This Row],[2021 Status]], _statuses[Status Level]:_statuses[Status Value], 7, FALSE) - VLOOKUP(_web5_gap[[#This Row],[2023 Status]], _statuses[Status Level]:_statuses[Status Value], 7, FALSE)),
    ABS(VLOOKUP(_web5_gap[[#This Row],[2021 Status]], _statuses[Status Level]:_statuses[Status Value], 7, FALSE) - VLOOKUP(_web5_gap[[#This Row],[2023 Status]], _statuses[Status Level]:_statuses[Status Value], 7, FALSE))),
"Error in Calculation")
))</f>
        <v>-2</v>
      </c>
    </row>
    <row r="43" spans="1:10" ht="72.5" x14ac:dyDescent="0.35">
      <c r="A43" s="174" t="str" cm="1">
        <f t="array" ref="A43">IFERROR(INDEX(_web05[Goal '#], SMALL(IF(_web05[Success Indicator]&lt;&gt; "Removed", ROW(_web05[Goal '#])-ROW(INDEX(_web05[Goal '#],1,1))+1), ROW(8:8))), "") &amp; ""</f>
        <v>5.13</v>
      </c>
      <c r="B43" s="1" t="str" cm="1">
        <f t="array" ref="B43">IFERROR(INDEX(_web05[Success Indicator], SMALL(IF(_web05[Success Indicator]&lt;&gt; "Removed", ROW(_web05[Success Indicator])-ROW(INDEX(_web05[Success Indicator],1,1))+1), ROW(8:8))), "") &amp; ""</f>
        <v>(NEW) Developed a training process on accessibility for marketing and communication materials (such as emails and flyers).</v>
      </c>
      <c r="C43" s="1" t="str" cm="1">
        <f t="array" ref="C43">IFERROR(INDEX(_web05[Department Stakeholder?], SMALL(IF(_web05[Success Indicator]&lt;&gt; "Removed", ROW(_web05[Department Stakeholder?])-ROW(INDEX(_web05[Department Stakeholder?],1,1))+1), ROW(8:8))), "") &amp; ""</f>
        <v>Web Accessibility Coordinator</v>
      </c>
      <c r="D43" s="1" t="str" cm="1">
        <f t="array" ref="D43">IFERROR(INDEX(_web05[2021 Status], SMALL(IF(_web05[Success Indicator]&lt;&gt; "Removed", ROW(_web05[2021 Status])-ROW(INDEX(_web05[2021 Status],1,1))+1), ROW(8:8))), "") &amp; ""</f>
        <v>Established</v>
      </c>
      <c r="E43" s="1" t="str" cm="1">
        <f t="array" ref="E43">IFERROR(INDEX(_web05[2021 Evidence], SMALL(IF(_web05[Success Indicator]&lt;&gt; "Removed", ROW(_web05[2021 Evidence])-ROW(INDEX(_web05[2021 Evidence],1,1))+1), ROW(8:8))), "") &amp; ""</f>
        <v>Web Accessibility Coordinator Process document in department share (https://sfsu.box.com/s/bsky7ph9alkefa7s8un3ksfc8lmyeb6i) https://access.sfsu.edu/ati/emails</v>
      </c>
      <c r="F43" s="174" t="s">
        <v>217</v>
      </c>
      <c r="G43" s="1" t="s">
        <v>42</v>
      </c>
      <c r="H43" s="1"/>
      <c r="I43" s="1" t="s">
        <v>218</v>
      </c>
      <c r="J43" s="193">
        <f>IF(ISBLANK(_web5_gap[[#This Row],[2023 Status]]), "2023 Status Empty",
IF(_web5_gap[[#This Row],[2023 Status]] = "Not Started", -5,
IFERROR(
    IF(VLOOKUP(_web5_gap[[#This Row],[2021 Status]], _statuses[Status Level]:_statuses[Status Value], 7, FALSE) &gt; VLOOKUP(_web5_gap[[#This Row],[2023 Status]], _statuses[Status Level]:_statuses[Status Value], 7, FALSE),
    -ABS(VLOOKUP(_web5_gap[[#This Row],[2021 Status]], _statuses[Status Level]:_statuses[Status Value], 7, FALSE) - VLOOKUP(_web5_gap[[#This Row],[2023 Status]], _statuses[Status Level]:_statuses[Status Value], 7, FALSE)),
    ABS(VLOOKUP(_web5_gap[[#This Row],[2021 Status]], _statuses[Status Level]:_statuses[Status Value], 7, FALSE) - VLOOKUP(_web5_gap[[#This Row],[2023 Status]], _statuses[Status Level]:_statuses[Status Value], 7, FALSE))),
"Error in Calculation")
))</f>
        <v>-2</v>
      </c>
    </row>
    <row r="44" spans="1:10" ht="102" thickBot="1" x14ac:dyDescent="0.4">
      <c r="A44" s="174" t="str" cm="1">
        <f t="array" ref="A44">IFERROR(INDEX(_web05[Goal '#], SMALL(IF(_web05[Success Indicator]&lt;&gt; "Removed", ROW(_web05[Goal '#])-ROW(INDEX(_web05[Goal '#],1,1))+1), ROW(9:9))), "") &amp; ""</f>
        <v>5.14</v>
      </c>
      <c r="B44" s="1" t="str" cm="1">
        <f t="array" ref="B44">IFERROR(INDEX(_web05[Success Indicator], SMALL(IF(_web05[Success Indicator]&lt;&gt; "Removed", ROW(_web05[Success Indicator])-ROW(INDEX(_web05[Success Indicator],1,1))+1), ROW(9:9))), "") &amp; ""</f>
        <v>(NEW) Develop a process to provide ongoing professional development for employees with ATI Web responsibilities.</v>
      </c>
      <c r="C44" s="1" t="str" cm="1">
        <f t="array" ref="C44">IFERROR(INDEX(_web05[Department Stakeholder?], SMALL(IF(_web05[Success Indicator]&lt;&gt; "Removed", ROW(_web05[Department Stakeholder?])-ROW(INDEX(_web05[Department Stakeholder?],1,1))+1), ROW(9:9))), "") &amp; ""</f>
        <v>Director DPRC</v>
      </c>
      <c r="D44" s="1" t="str" cm="1">
        <f t="array" ref="D44">IFERROR(INDEX(_web05[2021 Status], SMALL(IF(_web05[Success Indicator]&lt;&gt; "Removed", ROW(_web05[2021 Status])-ROW(INDEX(_web05[2021 Status],1,1))+1), ROW(9:9))), "") &amp; ""</f>
        <v>Established</v>
      </c>
      <c r="E44" s="1" t="str" cm="1">
        <f t="array" ref="E44">IFERROR(INDEX(_web05[2021 Evidence], SMALL(IF(_web05[Success Indicator]&lt;&gt; "Removed", ROW(_web05[2021 Evidence])-ROW(INDEX(_web05[2021 Evidence],1,1))+1), ROW(9:9))), "") &amp; ""</f>
        <v>DPRC Director DPRC budget has line item for professional development funds for DPRC staff, including Web Accessibility Coordinator. Process document in department share (https://sfsu.box.com/s/bsky7ph9alkefa7s8un3ksfc8lmyeb6i)</v>
      </c>
      <c r="F44" s="174"/>
      <c r="G44" s="1" t="s">
        <v>33</v>
      </c>
      <c r="H44" s="1"/>
      <c r="I44" s="1"/>
      <c r="J44" s="194">
        <f>IF(ISBLANK(_web5_gap[[#This Row],[2023 Status]]), "2023 Status Empty",
IF(_web5_gap[[#This Row],[2023 Status]] = "Not Started", -5,
IFERROR(
    IF(VLOOKUP(_web5_gap[[#This Row],[2021 Status]], _statuses[Status Level]:_statuses[Status Value], 7, FALSE) &gt; VLOOKUP(_web5_gap[[#This Row],[2023 Status]], _statuses[Status Level]:_statuses[Status Value], 7, FALSE),
    -ABS(VLOOKUP(_web5_gap[[#This Row],[2021 Status]], _statuses[Status Level]:_statuses[Status Value], 7, FALSE) - VLOOKUP(_web5_gap[[#This Row],[2023 Status]], _statuses[Status Level]:_statuses[Status Value], 7, FALSE)),
    ABS(VLOOKUP(_web5_gap[[#This Row],[2021 Status]], _statuses[Status Level]:_statuses[Status Value], 7, FALSE) - VLOOKUP(_web5_gap[[#This Row],[2023 Status]], _statuses[Status Level]:_statuses[Status Value], 7, FALSE))),
"Error in Calculation")
))</f>
        <v>0</v>
      </c>
    </row>
    <row r="45" spans="1:10" x14ac:dyDescent="0.35">
      <c r="A45" s="1"/>
      <c r="B45" s="1"/>
      <c r="C45" s="1"/>
      <c r="D45" s="1"/>
      <c r="E45" s="1"/>
      <c r="F45" s="1"/>
      <c r="G45" s="1"/>
      <c r="H45" s="1"/>
      <c r="I45" s="1"/>
      <c r="J45" s="1"/>
    </row>
    <row r="48" spans="1:10" ht="19" customHeight="1" thickBot="1" x14ac:dyDescent="0.4">
      <c r="A48" s="1" t="s">
        <v>3</v>
      </c>
      <c r="B48" s="1" t="s">
        <v>4</v>
      </c>
      <c r="C48" s="1" t="s">
        <v>5</v>
      </c>
      <c r="D48" s="1" t="s">
        <v>238</v>
      </c>
      <c r="E48" s="1" t="s">
        <v>6</v>
      </c>
      <c r="F48" s="1" t="s">
        <v>7</v>
      </c>
      <c r="G48" s="1" t="s">
        <v>8</v>
      </c>
      <c r="H48" s="1" t="s">
        <v>10</v>
      </c>
      <c r="I48" s="1" t="s">
        <v>11</v>
      </c>
      <c r="J48" s="1" t="s">
        <v>590</v>
      </c>
    </row>
    <row r="49" spans="1:10" ht="121" customHeight="1" x14ac:dyDescent="0.35">
      <c r="A49" s="174" t="str" cm="1">
        <f t="array" ref="A49">IFERROR(INDEX(_web06[Goal '#], SMALL(IF(_web06[Success Indicator]&lt;&gt; "Removed", ROW(_web06[Goal '#])-ROW(INDEX(_web06[Goal '#],1,1))+1), ROW(1:1))), "") &amp; ""</f>
        <v>6.1</v>
      </c>
      <c r="B49" s="1" t="str" cm="1">
        <f t="array" ref="B49">IFERROR(INDEX(_web06[Success Indicator], SMALL(IF(_web06[Success Indicator]&lt;&gt; "Removed", ROW(_web06[Success Indicator])-ROW(INDEX(_web06[Success Indicator],1,1))+1), ROW(1:1))), "") &amp; ""</f>
        <v>Assigned authority and responsibility for the communication process to a body (person(s) or business entity).</v>
      </c>
      <c r="C49" s="1" t="str" cm="1">
        <f t="array" ref="C49">IFERROR(INDEX(_web06[Department Stakeholder?], SMALL(IF(_web06[Success Indicator]&lt;&gt; "Removed", ROW(_web06[Department Stakeholder?])-ROW(INDEX(_web06[Department Stakeholder?],1,1))+1), ROW(1:1))), "") &amp; ""</f>
        <v>Senior Accessible Technology Services Coordinator</v>
      </c>
      <c r="D49" s="1" t="str" cm="1">
        <f t="array" ref="D49">IFERROR(INDEX(_web06[2021 Status], SMALL(IF(_web06[Success Indicator]&lt;&gt; "Removed", ROW(_web06[2021 Status])-ROW(INDEX(_web06[2021 Status],1,1))+1), ROW(1:1))), "") &amp; ""</f>
        <v>Established</v>
      </c>
      <c r="E49" s="1" t="str" cm="1">
        <f t="array" ref="E49">IFERROR(INDEX(_web06[2021 Evidence], SMALL(IF(_web06[Success Indicator]&lt;&gt; "Removed", ROW(_web06[2021 Evidence])-ROW(INDEX(_web06[2021 Evidence],1,1))+1), ROW(1:1))), "") &amp; ""</f>
        <v>ATS Program Manager Process document in department share (https://sfsu.box.com/s/bsky7ph9alkefa7s8un3ksfc8lmyeb6i)</v>
      </c>
      <c r="F49" s="174"/>
      <c r="G49" s="1" t="s">
        <v>33</v>
      </c>
      <c r="H49" s="1"/>
      <c r="I49" s="1"/>
      <c r="J49" s="192">
        <f>IF(ISBLANK(_web6_gap[[#This Row],[2023 Status]]), "2023 Status Empty",
IF(_web6_gap[[#This Row],[2023 Status]] = "Not Started", -5,
IFERROR(
    IF(VLOOKUP(_web6_gap[[#This Row],[2021 Status]], _statuses[Status Level]:_statuses[Status Value], 7, FALSE) &gt; VLOOKUP(_web6_gap[[#This Row],[2023 Status]], _statuses[Status Level]:_statuses[Status Value], 7, FALSE),
    -ABS(VLOOKUP(_web6_gap[[#This Row],[2021 Status]], _statuses[Status Level]:_statuses[Status Value], 7, FALSE) - VLOOKUP(_web6_gap[[#This Row],[2023 Status]], _statuses[Status Level]:_statuses[Status Value], 7, FALSE)),
    ABS(VLOOKUP(_web6_gap[[#This Row],[2021 Status]], _statuses[Status Level]:_statuses[Status Value], 7, FALSE) - VLOOKUP(_web6_gap[[#This Row],[2023 Status]], _statuses[Status Level]:_statuses[Status Value], 7, FALSE))),
"Error in Calculation")
))</f>
        <v>0</v>
      </c>
    </row>
    <row r="50" spans="1:10" ht="115" customHeight="1" x14ac:dyDescent="0.35">
      <c r="A50" s="174" t="str" cm="1">
        <f t="array" ref="A50">IFERROR(INDEX(_web06[Goal '#], SMALL(IF(_web06[Success Indicator]&lt;&gt; "Removed", ROW(_web06[Goal '#])-ROW(INDEX(_web06[Goal '#],1,1))+1), ROW(2:2))), "") &amp; ""</f>
        <v>6.2</v>
      </c>
      <c r="B50" s="1" t="str" cm="1">
        <f t="array" ref="B50">IFERROR(INDEX(_web06[Success Indicator], SMALL(IF(_web06[Success Indicator]&lt;&gt; "Removed", ROW(_web06[Success Indicator])-ROW(INDEX(_web06[Success Indicator],1,1))+1), ROW(2:2))), "") &amp; ""</f>
        <v>Developed a process to verify that any changes made to existing websites and applications (web or mobile) comply with Section 508 accessibility standards.</v>
      </c>
      <c r="C50" s="1" t="str" cm="1">
        <f t="array" ref="C50">IFERROR(INDEX(_web06[Department Stakeholder?], SMALL(IF(_web06[Success Indicator]&lt;&gt; "Removed", ROW(_web06[Department Stakeholder?])-ROW(INDEX(_web06[Department Stakeholder?],1,1))+1), ROW(2:2))), "") &amp; ""</f>
        <v>Senior Accessible Technology Services Coordinator</v>
      </c>
      <c r="D50" s="1" t="str" cm="1">
        <f t="array" ref="D50">IFERROR(INDEX(_web06[2021 Status], SMALL(IF(_web06[Success Indicator]&lt;&gt; "Removed", ROW(_web06[2021 Status])-ROW(INDEX(_web06[2021 Status],1,1))+1), ROW(2:2))), "") &amp; ""</f>
        <v>Established</v>
      </c>
      <c r="E50" s="1" t="str" cm="1">
        <f t="array" ref="E50">IFERROR(INDEX(_web06[2021 Evidence], SMALL(IF(_web06[Success Indicator]&lt;&gt; "Removed", ROW(_web06[2021 Evidence])-ROW(INDEX(_web06[2021 Evidence],1,1))+1), ROW(2:2))), "") &amp; ""</f>
        <v>Web Accessibility Coordinator; ATS Program Manager Process document in department share (https://sfsu.box.com/s/bsky7ph9alkefa7s8un3ksfc8lmyeb6i)</v>
      </c>
      <c r="F50" s="174" t="s">
        <v>100</v>
      </c>
      <c r="G50" s="1" t="s">
        <v>42</v>
      </c>
      <c r="H50" s="1"/>
      <c r="I50" s="1" t="s">
        <v>101</v>
      </c>
      <c r="J50" s="193">
        <f>IF(ISBLANK(_web6_gap[[#This Row],[2023 Status]]), "2023 Status Empty",
IF(_web6_gap[[#This Row],[2023 Status]] = "Not Started", -5,
IFERROR(
    IF(VLOOKUP(_web6_gap[[#This Row],[2021 Status]], _statuses[Status Level]:_statuses[Status Value], 7, FALSE) &gt; VLOOKUP(_web6_gap[[#This Row],[2023 Status]], _statuses[Status Level]:_statuses[Status Value], 7, FALSE),
    -ABS(VLOOKUP(_web6_gap[[#This Row],[2021 Status]], _statuses[Status Level]:_statuses[Status Value], 7, FALSE) - VLOOKUP(_web6_gap[[#This Row],[2023 Status]], _statuses[Status Level]:_statuses[Status Value], 7, FALSE)),
    ABS(VLOOKUP(_web6_gap[[#This Row],[2021 Status]], _statuses[Status Level]:_statuses[Status Value], 7, FALSE) - VLOOKUP(_web6_gap[[#This Row],[2023 Status]], _statuses[Status Level]:_statuses[Status Value], 7, FALSE))),
"Error in Calculation")
))</f>
        <v>-2</v>
      </c>
    </row>
    <row r="51" spans="1:10" ht="87" x14ac:dyDescent="0.35">
      <c r="A51" s="174" t="str" cm="1">
        <f t="array" ref="A51">IFERROR(INDEX(_web06[Goal '#], SMALL(IF(_web06[Success Indicator]&lt;&gt; "Removed", ROW(_web06[Goal '#])-ROW(INDEX(_web06[Goal '#],1,1))+1), ROW(3:3))), "") &amp; ""</f>
        <v>6.3</v>
      </c>
      <c r="B51" s="1" t="str" cm="1">
        <f t="array" ref="B51">IFERROR(INDEX(_web06[Success Indicator], SMALL(IF(_web06[Success Indicator]&lt;&gt; "Removed", ROW(_web06[Success Indicator])-ROW(INDEX(_web06[Success Indicator],1,1))+1), ROW(3:3))), "") &amp; ""</f>
        <v xml:space="preserve">Developed a process that integrates web accessibility information into the on-boarding/orientation process for new faculty.  </v>
      </c>
      <c r="C51" s="1" t="str" cm="1">
        <f t="array" ref="C51">IFERROR(INDEX(_web06[Department Stakeholder?], SMALL(IF(_web06[Success Indicator]&lt;&gt; "Removed", ROW(_web06[Department Stakeholder?])-ROW(INDEX(_web06[Department Stakeholder?],1,1))+1), ROW(3:3))), "") &amp; ""</f>
        <v>Director DPRC</v>
      </c>
      <c r="D51" s="1" t="str" cm="1">
        <f t="array" ref="D51">IFERROR(INDEX(_web06[2021 Status], SMALL(IF(_web06[Success Indicator]&lt;&gt; "Removed", ROW(_web06[2021 Status])-ROW(INDEX(_web06[2021 Status],1,1))+1), ROW(3:3))), "") &amp; ""</f>
        <v>Established</v>
      </c>
      <c r="E51" s="1" t="str" cm="1">
        <f t="array" ref="E51">IFERROR(INDEX(_web06[2021 Evidence], SMALL(IF(_web06[Success Indicator]&lt;&gt; "Removed", ROW(_web06[2021 Evidence])-ROW(INDEX(_web06[2021 Evidence],1,1))+1), ROW(3:3))), "") &amp; ""</f>
        <v>DPRC Director; ATS Program Manager DPRC staff speaks on accessibility at every New Faculty Orientation. Presentations stored at Box\Student Services\Outreach and Box\ATI\Admin\Presentations</v>
      </c>
      <c r="F51" s="174"/>
      <c r="G51" s="1" t="s">
        <v>33</v>
      </c>
      <c r="H51" s="1"/>
      <c r="I51" s="1"/>
      <c r="J51" s="193">
        <f>IF(ISBLANK(_web6_gap[[#This Row],[2023 Status]]), "2023 Status Empty",
IF(_web6_gap[[#This Row],[2023 Status]] = "Not Started", -5,
IFERROR(
    IF(VLOOKUP(_web6_gap[[#This Row],[2021 Status]], _statuses[Status Level]:_statuses[Status Value], 7, FALSE) &gt; VLOOKUP(_web6_gap[[#This Row],[2023 Status]], _statuses[Status Level]:_statuses[Status Value], 7, FALSE),
    -ABS(VLOOKUP(_web6_gap[[#This Row],[2021 Status]], _statuses[Status Level]:_statuses[Status Value], 7, FALSE) - VLOOKUP(_web6_gap[[#This Row],[2023 Status]], _statuses[Status Level]:_statuses[Status Value], 7, FALSE)),
    ABS(VLOOKUP(_web6_gap[[#This Row],[2021 Status]], _statuses[Status Level]:_statuses[Status Value], 7, FALSE) - VLOOKUP(_web6_gap[[#This Row],[2023 Status]], _statuses[Status Level]:_statuses[Status Value], 7, FALSE))),
"Error in Calculation")
))</f>
        <v>0</v>
      </c>
    </row>
    <row r="52" spans="1:10" ht="58" x14ac:dyDescent="0.35">
      <c r="A52" s="174" t="str" cm="1">
        <f t="array" ref="A52">IFERROR(INDEX(_web06[Goal '#], SMALL(IF(_web06[Success Indicator]&lt;&gt; "Removed", ROW(_web06[Goal '#])-ROW(INDEX(_web06[Goal '#],1,1))+1), ROW(4:4))), "") &amp; ""</f>
        <v>6.4</v>
      </c>
      <c r="B52" s="1" t="str" cm="1">
        <f t="array" ref="B52">IFERROR(INDEX(_web06[Success Indicator], SMALL(IF(_web06[Success Indicator]&lt;&gt; "Removed", ROW(_web06[Success Indicator])-ROW(INDEX(_web06[Success Indicator],1,1))+1), ROW(4:4))), "") &amp; ""</f>
        <v xml:space="preserve">	Developed a process that integrates web accessibility information into the on-boarding/orientation process for new staff.   </v>
      </c>
      <c r="C52" s="1" t="str" cm="1">
        <f t="array" ref="C52">IFERROR(INDEX(_web06[Department Stakeholder?], SMALL(IF(_web06[Success Indicator]&lt;&gt; "Removed", ROW(_web06[Department Stakeholder?])-ROW(INDEX(_web06[Department Stakeholder?],1,1))+1), ROW(4:4))), "") &amp; ""</f>
        <v>Senior Accessible Technology Services Coordinator</v>
      </c>
      <c r="D52" s="1" t="str" cm="1">
        <f t="array" ref="D52">IFERROR(INDEX(_web06[2021 Status], SMALL(IF(_web06[Success Indicator]&lt;&gt; "Removed", ROW(_web06[2021 Status])-ROW(INDEX(_web06[2021 Status],1,1))+1), ROW(4:4))), "") &amp; ""</f>
        <v>Defined</v>
      </c>
      <c r="E52" s="1" t="str" cm="1">
        <f t="array" ref="E52">IFERROR(INDEX(_web06[2021 Evidence], SMALL(IF(_web06[Success Indicator]&lt;&gt; "Removed", ROW(_web06[2021 Evidence])-ROW(INDEX(_web06[2021 Evidence],1,1))+1), ROW(4:4))), "") &amp; ""</f>
        <v>ATS Program Manager Information on the ATI has been added to new staff orientation slides in collaboration with Human Resources.</v>
      </c>
      <c r="F52" s="174" t="s">
        <v>104</v>
      </c>
      <c r="G52" s="1" t="s">
        <v>42</v>
      </c>
      <c r="H52" s="1"/>
      <c r="I52" s="1"/>
      <c r="J52" s="193">
        <f>IF(ISBLANK(_web6_gap[[#This Row],[2023 Status]]), "2023 Status Empty",
IF(_web6_gap[[#This Row],[2023 Status]] = "Not Started", -5,
IFERROR(
    IF(VLOOKUP(_web6_gap[[#This Row],[2021 Status]], _statuses[Status Level]:_statuses[Status Value], 7, FALSE) &gt; VLOOKUP(_web6_gap[[#This Row],[2023 Status]], _statuses[Status Level]:_statuses[Status Value], 7, FALSE),
    -ABS(VLOOKUP(_web6_gap[[#This Row],[2021 Status]], _statuses[Status Level]:_statuses[Status Value], 7, FALSE) - VLOOKUP(_web6_gap[[#This Row],[2023 Status]], _statuses[Status Level]:_statuses[Status Value], 7, FALSE)),
    ABS(VLOOKUP(_web6_gap[[#This Row],[2021 Status]], _statuses[Status Level]:_statuses[Status Value], 7, FALSE) - VLOOKUP(_web6_gap[[#This Row],[2023 Status]], _statuses[Status Level]:_statuses[Status Value], 7, FALSE))),
"Error in Calculation")
))</f>
        <v>-1</v>
      </c>
    </row>
    <row r="53" spans="1:10" ht="58" x14ac:dyDescent="0.35">
      <c r="A53" s="174" t="str" cm="1">
        <f t="array" ref="A53">IFERROR(INDEX(_web06[Goal '#], SMALL(IF(_web06[Success Indicator]&lt;&gt; "Removed", ROW(_web06[Goal '#])-ROW(INDEX(_web06[Goal '#],1,1))+1), ROW(5:5))), "") &amp; ""</f>
        <v>6.5</v>
      </c>
      <c r="B53" s="1" t="str" cm="1">
        <f t="array" ref="B53">IFERROR(INDEX(_web06[Success Indicator], SMALL(IF(_web06[Success Indicator]&lt;&gt; "Removed", ROW(_web06[Success Indicator])-ROW(INDEX(_web06[Success Indicator],1,1))+1), ROW(5:5))), "") &amp; ""</f>
        <v>Developed a process that integrates web accessibility information into the on-boarding/orientation process for students.</v>
      </c>
      <c r="C53" s="1" t="str" cm="1">
        <f t="array" ref="C53">IFERROR(INDEX(_web06[Department Stakeholder?], SMALL(IF(_web06[Success Indicator]&lt;&gt; "Removed", ROW(_web06[Department Stakeholder?])-ROW(INDEX(_web06[Department Stakeholder?],1,1))+1), ROW(5:5))), "") &amp; ""</f>
        <v>Senior Accessible Technology Services Coordinator</v>
      </c>
      <c r="D53" s="1" t="str" cm="1">
        <f t="array" ref="D53">IFERROR(INDEX(_web06[2021 Status], SMALL(IF(_web06[Success Indicator]&lt;&gt; "Removed", ROW(_web06[2021 Status])-ROW(INDEX(_web06[2021 Status],1,1))+1), ROW(5:5))), "") &amp; ""</f>
        <v>Established</v>
      </c>
      <c r="E53" s="1" t="str" cm="1">
        <f t="array" ref="E53">IFERROR(INDEX(_web06[2021 Evidence], SMALL(IF(_web06[Success Indicator]&lt;&gt; "Removed", ROW(_web06[2021 Evidence])-ROW(INDEX(_web06[2021 Evidence],1,1))+1), ROW(5:5))), "") &amp; ""</f>
        <v>ATS Program Manager Information on the ATI is included as part of the new student programs https://newstudentprograms.sfsu.edu/</v>
      </c>
      <c r="F53" s="174" t="s">
        <v>107</v>
      </c>
      <c r="G53" s="1" t="s">
        <v>42</v>
      </c>
      <c r="H53" s="1"/>
      <c r="I53" s="1"/>
      <c r="J53" s="193">
        <f>IF(ISBLANK(_web6_gap[[#This Row],[2023 Status]]), "2023 Status Empty",
IF(_web6_gap[[#This Row],[2023 Status]] = "Not Started", -5,
IFERROR(
    IF(VLOOKUP(_web6_gap[[#This Row],[2021 Status]], _statuses[Status Level]:_statuses[Status Value], 7, FALSE) &gt; VLOOKUP(_web6_gap[[#This Row],[2023 Status]], _statuses[Status Level]:_statuses[Status Value], 7, FALSE),
    -ABS(VLOOKUP(_web6_gap[[#This Row],[2021 Status]], _statuses[Status Level]:_statuses[Status Value], 7, FALSE) - VLOOKUP(_web6_gap[[#This Row],[2023 Status]], _statuses[Status Level]:_statuses[Status Value], 7, FALSE)),
    ABS(VLOOKUP(_web6_gap[[#This Row],[2021 Status]], _statuses[Status Level]:_statuses[Status Value], 7, FALSE) - VLOOKUP(_web6_gap[[#This Row],[2023 Status]], _statuses[Status Level]:_statuses[Status Value], 7, FALSE))),
"Error in Calculation")
))</f>
        <v>-2</v>
      </c>
    </row>
    <row r="54" spans="1:10" ht="72.5" x14ac:dyDescent="0.35">
      <c r="A54" s="174" t="str" cm="1">
        <f t="array" ref="A54">IFERROR(INDEX(_web06[Goal '#], SMALL(IF(_web06[Success Indicator]&lt;&gt; "Removed", ROW(_web06[Goal '#])-ROW(INDEX(_web06[Goal '#],1,1))+1), ROW(6:6))), "") &amp; ""</f>
        <v>6.7</v>
      </c>
      <c r="B54" s="1" t="str" cm="1">
        <f t="array" ref="B54">IFERROR(INDEX(_web06[Success Indicator], SMALL(IF(_web06[Success Indicator]&lt;&gt; "Removed", ROW(_web06[Success Indicator])-ROW(INDEX(_web06[Success Indicator],1,1))+1), ROW(6:6))), "") &amp; ""</f>
        <v>(NEW) Developed a process to ensure that campus members involved in creating and/or maintaining web sites, designs, and/or applications (web or mobile) know who to contact for compliance training, assistance, resources and support.</v>
      </c>
      <c r="C54" s="1" t="str" cm="1">
        <f t="array" ref="C54">IFERROR(INDEX(_web06[Department Stakeholder?], SMALL(IF(_web06[Success Indicator]&lt;&gt; "Removed", ROW(_web06[Department Stakeholder?])-ROW(INDEX(_web06[Department Stakeholder?],1,1))+1), ROW(6:6))), "") &amp; ""</f>
        <v>Web Accessibility Coordinator</v>
      </c>
      <c r="D54" s="1" t="str" cm="1">
        <f t="array" ref="D54">IFERROR(INDEX(_web06[2021 Status], SMALL(IF(_web06[Success Indicator]&lt;&gt; "Removed", ROW(_web06[2021 Status])-ROW(INDEX(_web06[2021 Status],1,1))+1), ROW(6:6))), "") &amp; ""</f>
        <v>Established</v>
      </c>
      <c r="E54" s="1" t="str" cm="1">
        <f t="array" ref="E54">IFERROR(INDEX(_web06[2021 Evidence], SMALL(IF(_web06[Success Indicator]&lt;&gt; "Removed", ROW(_web06[2021 Evidence])-ROW(INDEX(_web06[2021 Evidence],1,1))+1), ROW(6:6))), "") &amp; ""</f>
        <v>Web Accessibility Coordinator Process document in department share (https://sfsu.box.com/s/bsky7ph9alkefa7s8un3ksfc8lmyeb6i)</v>
      </c>
      <c r="F54" s="174"/>
      <c r="G54" s="1" t="s">
        <v>33</v>
      </c>
      <c r="H54" s="176" t="s">
        <v>220</v>
      </c>
      <c r="I54" s="1"/>
      <c r="J54" s="193">
        <f>IF(ISBLANK(_web6_gap[[#This Row],[2023 Status]]), "2023 Status Empty",
IF(_web6_gap[[#This Row],[2023 Status]] = "Not Started", -5,
IFERROR(
    IF(VLOOKUP(_web6_gap[[#This Row],[2021 Status]], _statuses[Status Level]:_statuses[Status Value], 7, FALSE) &gt; VLOOKUP(_web6_gap[[#This Row],[2023 Status]], _statuses[Status Level]:_statuses[Status Value], 7, FALSE),
    -ABS(VLOOKUP(_web6_gap[[#This Row],[2021 Status]], _statuses[Status Level]:_statuses[Status Value], 7, FALSE) - VLOOKUP(_web6_gap[[#This Row],[2023 Status]], _statuses[Status Level]:_statuses[Status Value], 7, FALSE)),
    ABS(VLOOKUP(_web6_gap[[#This Row],[2021 Status]], _statuses[Status Level]:_statuses[Status Value], 7, FALSE) - VLOOKUP(_web6_gap[[#This Row],[2023 Status]], _statuses[Status Level]:_statuses[Status Value], 7, FALSE))),
"Error in Calculation")
))</f>
        <v>0</v>
      </c>
    </row>
    <row r="55" spans="1:10" ht="73" thickBot="1" x14ac:dyDescent="0.4">
      <c r="A55" s="174" t="str" cm="1">
        <f t="array" ref="A55">IFERROR(INDEX(_web06[Goal '#], SMALL(IF(_web06[Success Indicator]&lt;&gt; "Removed", ROW(_web06[Goal '#])-ROW(INDEX(_web06[Goal '#],1,1))+1), ROW(7:7))), "") &amp; ""</f>
        <v>6.8</v>
      </c>
      <c r="B55" s="1" t="str" cm="1">
        <f t="array" ref="B55">IFERROR(INDEX(_web06[Success Indicator], SMALL(IF(_web06[Success Indicator]&lt;&gt; "Removed", ROW(_web06[Success Indicator])-ROW(INDEX(_web06[Success Indicator],1,1))+1), ROW(7:7))), "") &amp; ""</f>
        <v xml:space="preserve">	NEW Developed a process to ensure that campus members involved in creating and/or maintaining digital content (web, web design, documents, videos, audio, etc.) know who to contact for compliance training, assistance, resources and support.</v>
      </c>
      <c r="C55" s="1" t="str" cm="1">
        <f t="array" ref="C55">IFERROR(INDEX(_web06[Department Stakeholder?], SMALL(IF(_web06[Success Indicator]&lt;&gt; "Removed", ROW(_web06[Department Stakeholder?])-ROW(INDEX(_web06[Department Stakeholder?],1,1))+1), ROW(7:7))), "") &amp; ""</f>
        <v>Web Accessibility Coordinator</v>
      </c>
      <c r="D55" s="1" t="str" cm="1">
        <f t="array" ref="D55">IFERROR(INDEX(_web06[2021 Status], SMALL(IF(_web06[Success Indicator]&lt;&gt; "Removed", ROW(_web06[2021 Status])-ROW(INDEX(_web06[2021 Status],1,1))+1), ROW(7:7))), "") &amp; ""</f>
        <v>Established</v>
      </c>
      <c r="E55" s="1" t="str" cm="1">
        <f t="array" ref="E55">IFERROR(INDEX(_web06[2021 Evidence], SMALL(IF(_web06[Success Indicator]&lt;&gt; "Removed", ROW(_web06[2021 Evidence])-ROW(INDEX(_web06[2021 Evidence],1,1))+1), ROW(7:7))), "") &amp; ""</f>
        <v>Web Accessibility Coordinator Process document in department share (https://sfsu.box.com/s/bsky7ph9alkefa7s8un3ksfc8lmyeb6i)</v>
      </c>
      <c r="F55" s="174"/>
      <c r="G55" s="1" t="s">
        <v>33</v>
      </c>
      <c r="H55" s="176" t="s">
        <v>220</v>
      </c>
      <c r="I55" s="1"/>
      <c r="J55" s="194">
        <f>IF(ISBLANK(_web6_gap[[#This Row],[2023 Status]]), "2023 Status Empty",
IF(_web6_gap[[#This Row],[2023 Status]] = "Not Started", -5,
IFERROR(
    IF(VLOOKUP(_web6_gap[[#This Row],[2021 Status]], _statuses[Status Level]:_statuses[Status Value], 7, FALSE) &gt; VLOOKUP(_web6_gap[[#This Row],[2023 Status]], _statuses[Status Level]:_statuses[Status Value], 7, FALSE),
    -ABS(VLOOKUP(_web6_gap[[#This Row],[2021 Status]], _statuses[Status Level]:_statuses[Status Value], 7, FALSE) - VLOOKUP(_web6_gap[[#This Row],[2023 Status]], _statuses[Status Level]:_statuses[Status Value], 7, FALSE)),
    ABS(VLOOKUP(_web6_gap[[#This Row],[2021 Status]], _statuses[Status Level]:_statuses[Status Value], 7, FALSE) - VLOOKUP(_web6_gap[[#This Row],[2023 Status]], _statuses[Status Level]:_statuses[Status Value], 7, FALSE))),
"Error in Calculation")
))</f>
        <v>0</v>
      </c>
    </row>
    <row r="56" spans="1:10" x14ac:dyDescent="0.35">
      <c r="A56" s="1"/>
      <c r="B56" s="1"/>
      <c r="C56" s="1"/>
      <c r="D56" s="1"/>
      <c r="E56" s="1"/>
      <c r="F56" s="1"/>
      <c r="G56" s="1"/>
      <c r="H56" s="1"/>
      <c r="I56" s="1"/>
      <c r="J56" s="1"/>
    </row>
    <row r="57" spans="1:10" x14ac:dyDescent="0.35">
      <c r="A57" s="1"/>
      <c r="B57" s="1"/>
      <c r="C57" s="1"/>
      <c r="D57" s="1"/>
      <c r="E57" s="1"/>
      <c r="F57" s="1"/>
      <c r="G57" s="1"/>
      <c r="H57" s="1"/>
      <c r="I57" s="1"/>
      <c r="J57" s="1"/>
    </row>
    <row r="58" spans="1:10" ht="19" customHeight="1" thickBot="1" x14ac:dyDescent="0.4">
      <c r="A58" s="1" t="s">
        <v>3</v>
      </c>
      <c r="B58" s="1" t="s">
        <v>4</v>
      </c>
      <c r="C58" s="1" t="s">
        <v>5</v>
      </c>
      <c r="D58" s="1" t="s">
        <v>238</v>
      </c>
      <c r="E58" s="1" t="s">
        <v>6</v>
      </c>
      <c r="F58" s="1" t="s">
        <v>7</v>
      </c>
      <c r="G58" s="1" t="s">
        <v>8</v>
      </c>
      <c r="H58" s="1" t="s">
        <v>10</v>
      </c>
      <c r="I58" s="1" t="s">
        <v>11</v>
      </c>
      <c r="J58" s="1" t="s">
        <v>590</v>
      </c>
    </row>
    <row r="59" spans="1:10" ht="121" customHeight="1" x14ac:dyDescent="0.35">
      <c r="A59" s="174" t="str" cm="1">
        <f t="array" ref="A59">IFERROR(INDEX(_web07[Goal '#], SMALL(IF(_web07[Success Indicator]&lt;&gt; "Removed", ROW(_web07[Goal '#])-ROW(INDEX(_web07[Goal '#],1,1))+1), ROW(1:1))), "") &amp; ""</f>
        <v>7.5</v>
      </c>
      <c r="B59" s="1" t="str" cm="1">
        <f t="array" ref="B59">IFERROR(INDEX(_web07[Success Indicator], SMALL(IF(_web07[Success Indicator]&lt;&gt; "Removed", ROW(_web07[Success Indicator])-ROW(INDEX(_web07[Success Indicator],1,1))+1), ROW(1:1))), "") &amp; ""</f>
        <v xml:space="preserve">(NEW) Developed a process for the ATI Steering Committee to review, revise and approve the updated ATI Web Accessibility Plan. </v>
      </c>
      <c r="C59" s="1" t="str" cm="1">
        <f t="array" ref="C59">IFERROR(INDEX(_web07[Department Stakeholder?], SMALL(IF(_web07[Success Indicator]&lt;&gt; "Removed", ROW(_web07[Department Stakeholder?])-ROW(INDEX(_web07[Department Stakeholder?],1,1))+1), ROW(1:1))), "") &amp; ""</f>
        <v>Senior Accessible Technology Services Coordinator</v>
      </c>
      <c r="D59" s="1" t="str" cm="1">
        <f t="array" ref="D59">IFERROR(INDEX(_web07[2021 Status], SMALL(IF(_web07[Success Indicator]&lt;&gt; "Removed", ROW(_web07[2021 Status])-ROW(INDEX(_web07[2021 Status],1,1))+1), ROW(1:1))), "") &amp; ""</f>
        <v>Established</v>
      </c>
      <c r="E59" s="1" t="str" cm="1">
        <f t="array" ref="E59">IFERROR(INDEX(_web07[2021 Evidence], SMALL(IF(_web07[Success Indicator]&lt;&gt; "Removed", ROW(_web07[2021 Evidence])-ROW(INDEX(_web07[2021 Evidence],1,1))+1), ROW(1:1))), "") &amp; ""</f>
        <v>ATS Program Manager Plan is updated annually. Process in department share at https://sfsu.box.com/s/bsky7ph9alkefa7s8un3ksfc8lmyeb6i )</v>
      </c>
      <c r="F59" s="1"/>
      <c r="G59" s="1" t="s">
        <v>15</v>
      </c>
      <c r="H59" s="1"/>
      <c r="I59" s="1" t="s">
        <v>110</v>
      </c>
      <c r="J59" s="192">
        <f>IF(ISBLANK(_web7_gap[[#This Row],[2023 Status]]), "2023 Status Empty",
IF(_web7_gap[[#This Row],[2023 Status]] = "Not Started", -5,
IFERROR(
    IF(VLOOKUP(_web7_gap[[#This Row],[2021 Status]], _statuses[Status Level]:_statuses[Status Value], 7, FALSE) &gt; VLOOKUP(_web7_gap[[#This Row],[2023 Status]], _statuses[Status Level]:_statuses[Status Value], 7, FALSE),
    -ABS(VLOOKUP(_web7_gap[[#This Row],[2021 Status]], _statuses[Status Level]:_statuses[Status Value], 7, FALSE) - VLOOKUP(_web7_gap[[#This Row],[2023 Status]], _statuses[Status Level]:_statuses[Status Value], 7, FALSE)),
    ABS(VLOOKUP(_web7_gap[[#This Row],[2021 Status]], _statuses[Status Level]:_statuses[Status Value], 7, FALSE) - VLOOKUP(_web7_gap[[#This Row],[2023 Status]], _statuses[Status Level]:_statuses[Status Value], 7, FALSE))),
"Error in Calculation")
))</f>
        <v>-5</v>
      </c>
    </row>
    <row r="60" spans="1:10" ht="115" customHeight="1" thickBot="1" x14ac:dyDescent="0.4">
      <c r="A60" s="174" t="str" cm="1">
        <f t="array" ref="A60">IFERROR(INDEX(_web07[Goal '#], SMALL(IF(_web07[Success Indicator]&lt;&gt; "Removed", ROW(_web07[Goal '#])-ROW(INDEX(_web07[Goal '#],1,1))+1), ROW(2:2))), "") &amp; ""</f>
        <v>7.6</v>
      </c>
      <c r="B60" s="1" t="str" cm="1">
        <f t="array" ref="B60">IFERROR(INDEX(_web07[Success Indicator], SMALL(IF(_web07[Success Indicator]&lt;&gt; "Removed", ROW(_web07[Success Indicator])-ROW(INDEX(_web07[Success Indicator],1,1))+1), ROW(2:2))), "") &amp; ""</f>
        <v xml:space="preserve">(NEW) Developed a process for the web accessibility subcommittee to inform the revision and coordinate the implementation of the annual ATI Web Accessibility Plan. </v>
      </c>
      <c r="C60" s="1" t="str" cm="1">
        <f t="array" ref="C60">IFERROR(INDEX(_web07[Department Stakeholder?], SMALL(IF(_web07[Success Indicator]&lt;&gt; "Removed", ROW(_web07[Department Stakeholder?])-ROW(INDEX(_web07[Department Stakeholder?],1,1))+1), ROW(2:2))), "") &amp; ""</f>
        <v>Senior Accessible Technology Services Coordinator</v>
      </c>
      <c r="D60" s="1" t="str" cm="1">
        <f t="array" ref="D60">IFERROR(INDEX(_web07[2021 Status], SMALL(IF(_web07[Success Indicator]&lt;&gt; "Removed", ROW(_web07[2021 Status])-ROW(INDEX(_web07[2021 Status],1,1))+1), ROW(2:2))), "") &amp; ""</f>
        <v>Established</v>
      </c>
      <c r="E60" s="1" t="str" cm="1">
        <f t="array" ref="E60">IFERROR(INDEX(_web07[2021 Evidence], SMALL(IF(_web07[Success Indicator]&lt;&gt; "Removed", ROW(_web07[2021 Evidence])-ROW(INDEX(_web07[2021 Evidence],1,1))+1), ROW(2:2))), "") &amp; ""</f>
        <v>ATS Program Manager Plan is updated annually. Process in department share at https://sfsu.box.com/s/bsky7ph9alkefa7s8un3ksfc8lmyeb6i</v>
      </c>
      <c r="F60" s="1"/>
      <c r="G60" s="1" t="s">
        <v>15</v>
      </c>
      <c r="H60" s="1"/>
      <c r="I60" s="1" t="s">
        <v>113</v>
      </c>
      <c r="J60" s="194">
        <f>IF(ISBLANK(_web7_gap[[#This Row],[2023 Status]]), "2023 Status Empty",
IF(_web7_gap[[#This Row],[2023 Status]] = "Not Started", -5,
IFERROR(
    IF(VLOOKUP(_web7_gap[[#This Row],[2021 Status]], _statuses[Status Level]:_statuses[Status Value], 7, FALSE) &gt; VLOOKUP(_web7_gap[[#This Row],[2023 Status]], _statuses[Status Level]:_statuses[Status Value], 7, FALSE),
    -ABS(VLOOKUP(_web7_gap[[#This Row],[2021 Status]], _statuses[Status Level]:_statuses[Status Value], 7, FALSE) - VLOOKUP(_web7_gap[[#This Row],[2023 Status]], _statuses[Status Level]:_statuses[Status Value], 7, FALSE)),
    ABS(VLOOKUP(_web7_gap[[#This Row],[2021 Status]], _statuses[Status Level]:_statuses[Status Value], 7, FALSE) - VLOOKUP(_web7_gap[[#This Row],[2023 Status]], _statuses[Status Level]:_statuses[Status Value], 7, FALSE))),
"Error in Calculation")
))</f>
        <v>-5</v>
      </c>
    </row>
    <row r="61" spans="1:10" x14ac:dyDescent="0.35">
      <c r="A61" s="1"/>
      <c r="B61" s="1"/>
      <c r="C61" s="1"/>
      <c r="D61" s="1"/>
      <c r="E61" s="1"/>
      <c r="F61" s="1"/>
      <c r="G61" s="1"/>
      <c r="H61" s="1"/>
      <c r="I61" s="1"/>
      <c r="J61" s="1"/>
    </row>
    <row r="62" spans="1:10" x14ac:dyDescent="0.35">
      <c r="A62" s="1"/>
      <c r="B62" s="1"/>
      <c r="C62" s="1"/>
      <c r="D62" s="1"/>
      <c r="E62" s="1"/>
      <c r="F62" s="1"/>
      <c r="G62" s="1"/>
      <c r="H62" s="1"/>
      <c r="I62" s="1"/>
      <c r="J62" s="1"/>
    </row>
    <row r="63" spans="1:10" x14ac:dyDescent="0.35">
      <c r="A63" s="1"/>
      <c r="B63" s="1"/>
      <c r="C63" s="1"/>
      <c r="D63" s="1"/>
      <c r="E63" s="1"/>
      <c r="F63" s="1"/>
      <c r="G63" s="1"/>
      <c r="H63" s="1"/>
      <c r="I63" s="1"/>
      <c r="J63" s="1"/>
    </row>
    <row r="64" spans="1:10" x14ac:dyDescent="0.35">
      <c r="A64" s="1"/>
      <c r="B64" s="1"/>
      <c r="C64" s="1"/>
      <c r="D64" s="1"/>
      <c r="E64" s="1"/>
      <c r="F64" s="1"/>
      <c r="G64" s="1"/>
      <c r="H64" s="1"/>
      <c r="I64" s="1"/>
      <c r="J64" s="1"/>
    </row>
    <row r="65" spans="1:10" x14ac:dyDescent="0.35">
      <c r="A65" s="1"/>
      <c r="B65" s="1"/>
      <c r="C65" s="1"/>
      <c r="D65" s="1"/>
      <c r="E65" s="1"/>
      <c r="F65" s="1"/>
      <c r="G65" s="1"/>
      <c r="H65" s="1"/>
      <c r="I65" s="1"/>
      <c r="J65" s="1"/>
    </row>
  </sheetData>
  <conditionalFormatting sqref="J5:J15">
    <cfRule type="colorScale" priority="7">
      <colorScale>
        <cfvo type="num" val="-5"/>
        <cfvo type="num" val="0"/>
        <cfvo type="num" val="5"/>
        <color rgb="FFF8696B"/>
        <color rgb="FFFFEB84"/>
        <color rgb="FF63BE7B"/>
      </colorScale>
    </cfRule>
  </conditionalFormatting>
  <conditionalFormatting sqref="J20:J24">
    <cfRule type="colorScale" priority="6">
      <colorScale>
        <cfvo type="num" val="-5"/>
        <cfvo type="num" val="0"/>
        <cfvo type="num" val="5"/>
        <color rgb="FFF8696B"/>
        <color rgb="FFFFEB84"/>
        <color rgb="FF63BE7B"/>
      </colorScale>
    </cfRule>
  </conditionalFormatting>
  <conditionalFormatting sqref="J28:J31">
    <cfRule type="colorScale" priority="5">
      <colorScale>
        <cfvo type="num" val="-5"/>
        <cfvo type="num" val="0"/>
        <cfvo type="num" val="5"/>
        <color rgb="FFF8696B"/>
        <color rgb="FFFFEB84"/>
        <color rgb="FF63BE7B"/>
      </colorScale>
    </cfRule>
  </conditionalFormatting>
  <conditionalFormatting sqref="J36:J44">
    <cfRule type="colorScale" priority="4">
      <colorScale>
        <cfvo type="num" val="-5"/>
        <cfvo type="num" val="0"/>
        <cfvo type="num" val="5"/>
        <color rgb="FFF8696B"/>
        <color rgb="FFFFEB84"/>
        <color rgb="FF63BE7B"/>
      </colorScale>
    </cfRule>
  </conditionalFormatting>
  <conditionalFormatting sqref="J49:J55">
    <cfRule type="colorScale" priority="2">
      <colorScale>
        <cfvo type="num" val="-5"/>
        <cfvo type="num" val="0"/>
        <cfvo type="num" val="5"/>
        <color rgb="FFF8696B"/>
        <color rgb="FFFFEB84"/>
        <color rgb="FF63BE7B"/>
      </colorScale>
    </cfRule>
    <cfRule type="colorScale" priority="3">
      <colorScale>
        <cfvo type="num" val="-5"/>
        <cfvo type="num" val="0"/>
        <cfvo type="percent" val="5"/>
        <color rgb="FFF8696B"/>
        <color rgb="FFFFEB84"/>
        <color rgb="FF63BE7B"/>
      </colorScale>
    </cfRule>
  </conditionalFormatting>
  <conditionalFormatting sqref="J59:J60">
    <cfRule type="colorScale" priority="1">
      <colorScale>
        <cfvo type="num" val="-5"/>
        <cfvo type="num" val="0"/>
        <cfvo type="num" val="5"/>
        <color rgb="FFF8696B"/>
        <color rgb="FFFFEB84"/>
        <color rgb="FF63BE7B"/>
      </colorScale>
    </cfRule>
  </conditionalFormatting>
  <dataValidations count="1">
    <dataValidation type="list" allowBlank="1" showInputMessage="1" showErrorMessage="1" sqref="G5:G15 G20:G24 G28:G31 G36:G44 G49:G55 G59:G60" xr:uid="{F40D2311-32F2-4472-B5F5-A2826F0B792A}">
      <formula1>Statuses</formula1>
    </dataValidation>
  </dataValidations>
  <hyperlinks>
    <hyperlink ref="F10" r:id="rId1" xr:uid="{1D37658B-BFBD-4BE8-8DC0-8CE412E2D0C8}"/>
    <hyperlink ref="H10" r:id="rId2" xr:uid="{9B6FD998-14C7-4076-9959-51AB1A4F53E1}"/>
    <hyperlink ref="H54" r:id="rId3" xr:uid="{2BA61E92-76A4-4D4D-8925-1225875D485A}"/>
    <hyperlink ref="H55" r:id="rId4" xr:uid="{1D240ED3-A7DC-418A-9328-4E9B94009035}"/>
    <hyperlink ref="F11" r:id="rId5" xr:uid="{32BC9F8B-9C42-42F5-B4B8-B0F37EFCE669}"/>
  </hyperlinks>
  <pageMargins left="0.7" right="0.7" top="0.75" bottom="0.75" header="0.3" footer="0.3"/>
  <tableParts count="6">
    <tablePart r:id="rId6"/>
    <tablePart r:id="rId7"/>
    <tablePart r:id="rId8"/>
    <tablePart r:id="rId9"/>
    <tablePart r:id="rId10"/>
    <tablePart r:id="rId1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DFD3A-44DD-4A8A-9D70-583B6254DFEF}">
  <dimension ref="A3:L39"/>
  <sheetViews>
    <sheetView topLeftCell="A15" workbookViewId="0">
      <selection activeCell="H27" sqref="H27"/>
    </sheetView>
  </sheetViews>
  <sheetFormatPr defaultRowHeight="14.5" x14ac:dyDescent="0.35"/>
  <cols>
    <col min="1" max="1" width="10" customWidth="1"/>
    <col min="2" max="2" width="39.54296875" customWidth="1"/>
    <col min="3" max="3" width="24.453125" customWidth="1"/>
    <col min="4" max="4" width="22.453125" customWidth="1"/>
    <col min="5" max="5" width="44.54296875" customWidth="1"/>
    <col min="6" max="6" width="31.1796875" customWidth="1"/>
    <col min="7" max="7" width="20.54296875" customWidth="1"/>
    <col min="8" max="8" width="28.453125" customWidth="1"/>
    <col min="9" max="9" width="25.1796875" customWidth="1"/>
    <col min="10" max="10" width="24.453125" customWidth="1"/>
  </cols>
  <sheetData>
    <row r="3" spans="1:12" ht="18.649999999999999" customHeight="1" x14ac:dyDescent="0.35"/>
    <row r="4" spans="1:12" ht="15" thickBot="1" x14ac:dyDescent="0.4">
      <c r="A4" t="s">
        <v>3</v>
      </c>
      <c r="B4" s="1" t="s">
        <v>4</v>
      </c>
      <c r="C4" t="s">
        <v>5</v>
      </c>
      <c r="D4" t="s">
        <v>238</v>
      </c>
      <c r="E4" t="s">
        <v>6</v>
      </c>
      <c r="F4" t="s">
        <v>7</v>
      </c>
      <c r="G4" t="s">
        <v>8</v>
      </c>
      <c r="H4" t="s">
        <v>10</v>
      </c>
      <c r="I4" t="s">
        <v>11</v>
      </c>
      <c r="J4" t="s">
        <v>590</v>
      </c>
    </row>
    <row r="5" spans="1:12" ht="107.15" customHeight="1" x14ac:dyDescent="0.35">
      <c r="A5" s="186" t="str" cm="1">
        <f t="array" ref="A5">IFERROR(INDEX(_pro01[Goal '#], SMALL(IF(_pro01[Success Indicator]&lt;&gt; "Removed", ROW(_pro01[Goal '#])-ROW(INDEX(_pro01[Goal '#],1,1))+1), ROW(1:1))), "") &amp; ""</f>
        <v>1.3</v>
      </c>
      <c r="B5" s="53" t="str" cm="1">
        <f t="array" ref="B5">IFERROR(INDEX(_pro01[Success Indicator], SMALL(IF(_pro01[Success Indicator]&lt;&gt; "Removed", ROW(_pro01[Success Indicator])-ROW(INDEX(_pro01[Success Indicator],1,1))+1), ROW(1:1))), "") &amp; ""</f>
        <v>Developed a process to determine impact based on the impact matrix/criteria.</v>
      </c>
      <c r="C5" s="1" t="str" cm="1">
        <f t="array" ref="C5">IFERROR(INDEX(_pro01[Department Stakeholder?], SMALL(IF(_pro01[Success Indicator]&lt;&gt; "Removed", ROW(_pro01[Department Stakeholder?])-ROW(INDEX(_pro01[Department Stakeholder?],1,1))+1), ROW(1:1))), "") &amp; ""</f>
        <v>Senior Accessible Technology Services Coordinator</v>
      </c>
      <c r="D5" s="1" t="str" cm="1">
        <f t="array" ref="D5">IFERROR(INDEX(_pro01[2021 Status], SMALL(IF(_pro01[Success Indicator]&lt;&gt; "Removed", ROW(_pro01[2021 Status])-ROW(INDEX(_pro01[2021 Status],1,1))+1), ROW(1:1))), "") &amp; ""</f>
        <v>Established</v>
      </c>
      <c r="E5" s="53" t="str" cm="1">
        <f t="array" ref="E5">IFERROR(INDEX(_pro01[2021 Evidence], SMALL(IF(_pro01[Success Indicator]&lt;&gt; "Removed", ROW(_pro01[2021 Evidence])-ROW(INDEX(_pro01[2021 Evidence],1,1))+1), ROW(1:1))), "") &amp; ""</f>
        <v>ATS Program Manager; Accessible Procurement Analyst https://sfsu.box.com/s/diiwm004t6grf5qnsvy9zssx2ynmpawz</v>
      </c>
      <c r="F5" s="1"/>
      <c r="G5" s="1" t="s">
        <v>33</v>
      </c>
      <c r="H5" s="1"/>
      <c r="I5" s="1"/>
      <c r="J5" s="183">
        <f>IF(ISBLANK(_pro01_gap[[#This Row],[2023 Status]]), "2023 Status Empty",
IF(_pro01_gap[[#This Row],[2023 Status]] = "Not Started", -5,
IFERROR(
    IF(VLOOKUP(_pro01_gap[[#This Row],[2021 Status]], _statuses[Status Level]:_statuses[Status Value], 7, FALSE) &gt; VLOOKUP(_pro01_gap[[#This Row],[2023 Status]], _statuses[Status Level]:_statuses[Status Value], 7, FALSE),
    -ABS(VLOOKUP(_pro01_gap[[#This Row],[2021 Status]], _statuses[Status Level]:_statuses[Status Value], 7, FALSE) - VLOOKUP(_pro01_gap[[#This Row],[2023 Status]], _statuses[Status Level]:_statuses[Status Value], 7, FALSE)),
    ABS(VLOOKUP(_pro01_gap[[#This Row],[2021 Status]], _statuses[Status Level]:_statuses[Status Value], 7, FALSE) - VLOOKUP(_pro01_gap[[#This Row],[2023 Status]], _statuses[Status Level]:_statuses[Status Value], 7, FALSE))),
"Error in Calculation")
))</f>
        <v>0</v>
      </c>
    </row>
    <row r="6" spans="1:12" ht="58" x14ac:dyDescent="0.35">
      <c r="A6" s="186" t="str" cm="1">
        <f t="array" ref="A6">IFERROR(INDEX(_pro01[Goal '#], SMALL(IF(_pro01[Success Indicator]&lt;&gt; "Removed", ROW(_pro01[Goal '#])-ROW(INDEX(_pro01[Goal '#],1,1))+1), ROW(2:2))), "") &amp; ""</f>
        <v>1.4</v>
      </c>
      <c r="B6" s="53" t="str" cm="1">
        <f t="array" ref="B6">IFERROR(INDEX(_pro01[Success Indicator], SMALL(IF(_pro01[Success Indicator]&lt;&gt; "Removed", ROW(_pro01[Success Indicator])-ROW(INDEX(_pro01[Success Indicator],1,1))+1), ROW(2:2))), "") &amp; ""</f>
        <v>Developed a process to determine the level/complexity of 508 evaluation that will be required for new procurements and/or renewals.</v>
      </c>
      <c r="C6" s="1" t="str" cm="1">
        <f t="array" ref="C6">IFERROR(INDEX(_pro01[Department Stakeholder?], SMALL(IF(_pro01[Success Indicator]&lt;&gt; "Removed", ROW(_pro01[Department Stakeholder?])-ROW(INDEX(_pro01[Department Stakeholder?],1,1))+1), ROW(2:2))), "") &amp; ""</f>
        <v>Senior Accessible Technology Services Coordinator</v>
      </c>
      <c r="D6" s="1" t="str" cm="1">
        <f t="array" ref="D6">IFERROR(INDEX(_pro01[2021 Status], SMALL(IF(_pro01[Success Indicator]&lt;&gt; "Removed", ROW(_pro01[2021 Status])-ROW(INDEX(_pro01[2021 Status],1,1))+1), ROW(2:2))), "") &amp; ""</f>
        <v>Established</v>
      </c>
      <c r="E6" s="53" t="str" cm="1">
        <f t="array" ref="E6">IFERROR(INDEX(_pro01[2021 Evidence], SMALL(IF(_pro01[Success Indicator]&lt;&gt; "Removed", ROW(_pro01[2021 Evidence])-ROW(INDEX(_pro01[2021 Evidence],1,1))+1), ROW(2:2))), "") &amp; ""</f>
        <v>ATS Program Manager; Accessible Procurement Analyst https://sfsu.box.com/s/diiwm004t6grf5qnsvy9zssx2ynmpawz</v>
      </c>
      <c r="F6" s="1"/>
      <c r="G6" s="1" t="s">
        <v>33</v>
      </c>
      <c r="H6" s="1"/>
      <c r="I6" s="1"/>
      <c r="J6" s="184">
        <f>IF(ISBLANK(_pro01_gap[[#This Row],[2023 Status]]), "2023 Status Empty",
IF(_pro01_gap[[#This Row],[2023 Status]] = "Not Started", -5,
IFERROR(
    IF(VLOOKUP(_pro01_gap[[#This Row],[2021 Status]], _statuses[Status Level]:_statuses[Status Value], 7, FALSE) &gt; VLOOKUP(_pro01_gap[[#This Row],[2023 Status]], _statuses[Status Level]:_statuses[Status Value], 7, FALSE),
    -ABS(VLOOKUP(_pro01_gap[[#This Row],[2021 Status]], _statuses[Status Level]:_statuses[Status Value], 7, FALSE) - VLOOKUP(_pro01_gap[[#This Row],[2023 Status]], _statuses[Status Level]:_statuses[Status Value], 7, FALSE)),
    ABS(VLOOKUP(_pro01_gap[[#This Row],[2021 Status]], _statuses[Status Level]:_statuses[Status Value], 7, FALSE) - VLOOKUP(_pro01_gap[[#This Row],[2023 Status]], _statuses[Status Level]:_statuses[Status Value], 7, FALSE))),
"Error in Calculation")
))</f>
        <v>0</v>
      </c>
    </row>
    <row r="7" spans="1:12" ht="72.5" x14ac:dyDescent="0.35">
      <c r="A7" s="186" t="str" cm="1">
        <f t="array" ref="A7">IFERROR(INDEX(_pro01[Goal '#], SMALL(IF(_pro01[Success Indicator]&lt;&gt; "Removed", ROW(_pro01[Goal '#])-ROW(INDEX(_pro01[Goal '#],1,1))+1), ROW(3:3))), "") &amp; ""</f>
        <v>1.5</v>
      </c>
      <c r="B7" s="53" t="str" cm="1">
        <f t="array" ref="B7">IFERROR(INDEX(_pro01[Success Indicator], SMALL(IF(_pro01[Success Indicator]&lt;&gt; "Removed", ROW(_pro01[Success Indicator])-ROW(INDEX(_pro01[Success Indicator],1,1))+1), ROW(3:3))), "") &amp; ""</f>
        <v>Developed a process for procurements that require an evaluation of Section 508 compliance. The process must address requirements for both competitive and non-competitive bid procurements.</v>
      </c>
      <c r="C7" s="1" t="str" cm="1">
        <f t="array" ref="C7">IFERROR(INDEX(_pro01[Department Stakeholder?], SMALL(IF(_pro01[Success Indicator]&lt;&gt; "Removed", ROW(_pro01[Department Stakeholder?])-ROW(INDEX(_pro01[Department Stakeholder?],1,1))+1), ROW(3:3))), "") &amp; ""</f>
        <v>Senior Accessible Technology Services Coordinator</v>
      </c>
      <c r="D7" s="1" t="str" cm="1">
        <f t="array" ref="D7">IFERROR(INDEX(_pro01[2021 Status], SMALL(IF(_pro01[Success Indicator]&lt;&gt; "Removed", ROW(_pro01[2021 Status])-ROW(INDEX(_pro01[2021 Status],1,1))+1), ROW(3:3))), "") &amp; ""</f>
        <v>Established</v>
      </c>
      <c r="E7" s="53" t="str" cm="1">
        <f t="array" ref="E7">IFERROR(INDEX(_pro01[2021 Evidence], SMALL(IF(_pro01[Success Indicator]&lt;&gt; "Removed", ROW(_pro01[2021 Evidence])-ROW(INDEX(_pro01[2021 Evidence],1,1))+1), ROW(3:3))), "") &amp; ""</f>
        <v>ATS Program Manager; Accessible https://sfsu.box.com/s/diiwm004t6grf5qnsvy9zssx2ynmpawz</v>
      </c>
      <c r="F7" s="174" t="s">
        <v>83</v>
      </c>
      <c r="G7" s="1" t="s">
        <v>33</v>
      </c>
      <c r="H7" s="1"/>
      <c r="I7" s="1"/>
      <c r="J7" s="184">
        <f>IF(ISBLANK(_pro01_gap[[#This Row],[2023 Status]]), "2023 Status Empty",
IF(_pro01_gap[[#This Row],[2023 Status]] = "Not Started", -5,
IFERROR(
    IF(VLOOKUP(_pro01_gap[[#This Row],[2021 Status]], _statuses[Status Level]:_statuses[Status Value], 7, FALSE) &gt; VLOOKUP(_pro01_gap[[#This Row],[2023 Status]], _statuses[Status Level]:_statuses[Status Value], 7, FALSE),
    -ABS(VLOOKUP(_pro01_gap[[#This Row],[2021 Status]], _statuses[Status Level]:_statuses[Status Value], 7, FALSE) - VLOOKUP(_pro01_gap[[#This Row],[2023 Status]], _statuses[Status Level]:_statuses[Status Value], 7, FALSE)),
    ABS(VLOOKUP(_pro01_gap[[#This Row],[2021 Status]], _statuses[Status Level]:_statuses[Status Value], 7, FALSE) - VLOOKUP(_pro01_gap[[#This Row],[2023 Status]], _statuses[Status Level]:_statuses[Status Value], 7, FALSE))),
"Error in Calculation")
))</f>
        <v>0</v>
      </c>
    </row>
    <row r="8" spans="1:12" ht="58" x14ac:dyDescent="0.35">
      <c r="A8" s="186" t="str" cm="1">
        <f t="array" ref="A8">IFERROR(INDEX(_pro01[Goal '#], SMALL(IF(_pro01[Success Indicator]&lt;&gt; "Removed", ROW(_pro01[Goal '#])-ROW(INDEX(_pro01[Goal '#],1,1))+1), ROW(4:4))), "") &amp; ""</f>
        <v>1.7</v>
      </c>
      <c r="B8" s="53" t="str" cm="1">
        <f t="array" ref="B8">IFERROR(INDEX(_pro01[Success Indicator], SMALL(IF(_pro01[Success Indicator]&lt;&gt; "Removed", ROW(_pro01[Success Indicator])-ROW(INDEX(_pro01[Success Indicator],1,1))+1), ROW(4:4))), "") &amp; ""</f>
        <v>Developed a process for all purchase card purchases that require an evaluation of Section 508 compliance</v>
      </c>
      <c r="C8" s="1" t="str" cm="1">
        <f t="array" ref="C8">IFERROR(INDEX(_pro01[Department Stakeholder?], SMALL(IF(_pro01[Success Indicator]&lt;&gt; "Removed", ROW(_pro01[Department Stakeholder?])-ROW(INDEX(_pro01[Department Stakeholder?],1,1))+1), ROW(4:4))), "") &amp; ""</f>
        <v>Senior Accessible Technology Services Coordinator</v>
      </c>
      <c r="D8" s="1" t="str" cm="1">
        <f t="array" ref="D8">IFERROR(INDEX(_pro01[2021 Status], SMALL(IF(_pro01[Success Indicator]&lt;&gt; "Removed", ROW(_pro01[2021 Status])-ROW(INDEX(_pro01[2021 Status],1,1))+1), ROW(4:4))), "") &amp; ""</f>
        <v>Established</v>
      </c>
      <c r="E8" s="53" t="str" cm="1">
        <f t="array" ref="E8">IFERROR(INDEX(_pro01[2021 Evidence], SMALL(IF(_pro01[Success Indicator]&lt;&gt; "Removed", ROW(_pro01[2021 Evidence])-ROW(INDEX(_pro01[2021 Evidence],1,1))+1), ROW(4:4))), "") &amp; ""</f>
        <v>ATS Program Manager; Accessible Procurement Analyst https://sfsu.box.com/s/diiwm004t6grf5qnsvy9zssx2ynmpawz</v>
      </c>
      <c r="F8" s="174"/>
      <c r="G8" s="1" t="s">
        <v>33</v>
      </c>
      <c r="H8" s="177"/>
      <c r="I8" s="1"/>
      <c r="J8" s="184">
        <f>IF(ISBLANK(_pro01_gap[[#This Row],[2023 Status]]), "2023 Status Empty",
IF(_pro01_gap[[#This Row],[2023 Status]] = "Not Started", -5,
IFERROR(
    IF(VLOOKUP(_pro01_gap[[#This Row],[2021 Status]], _statuses[Status Level]:_statuses[Status Value], 7, FALSE) &gt; VLOOKUP(_pro01_gap[[#This Row],[2023 Status]], _statuses[Status Level]:_statuses[Status Value], 7, FALSE),
    -ABS(VLOOKUP(_pro01_gap[[#This Row],[2021 Status]], _statuses[Status Level]:_statuses[Status Value], 7, FALSE) - VLOOKUP(_pro01_gap[[#This Row],[2023 Status]], _statuses[Status Level]:_statuses[Status Value], 7, FALSE)),
    ABS(VLOOKUP(_pro01_gap[[#This Row],[2021 Status]], _statuses[Status Level]:_statuses[Status Value], 7, FALSE) - VLOOKUP(_pro01_gap[[#This Row],[2023 Status]], _statuses[Status Level]:_statuses[Status Value], 7, FALSE))),
"Error in Calculation")
))</f>
        <v>0</v>
      </c>
      <c r="L8" s="175"/>
    </row>
    <row r="9" spans="1:12" ht="72.5" x14ac:dyDescent="0.35">
      <c r="A9" s="186" t="str" cm="1">
        <f t="array" ref="A9">IFERROR(INDEX(_pro01[Goal '#], SMALL(IF(_pro01[Success Indicator]&lt;&gt; "Removed", ROW(_pro01[Goal '#])-ROW(INDEX(_pro01[Goal '#],1,1))+1), ROW(5:5))), "") &amp; ""</f>
        <v>1.8</v>
      </c>
      <c r="B9" s="53" t="str" cm="1">
        <f t="array" ref="B9">IFERROR(INDEX(_pro01[Success Indicator], SMALL(IF(_pro01[Success Indicator]&lt;&gt; "Removed", ROW(_pro01[Success Indicator])-ROW(INDEX(_pro01[Success Indicator],1,1))+1), ROW(5:5))), "") &amp; ""</f>
        <v>Developed a process for validating accessibility conformance claims (ACRs, Roadmaps, Accessibility Statements, accessibility demonstrations, RFP responses, and testing documentation).</v>
      </c>
      <c r="C9" s="1" t="str" cm="1">
        <f t="array" ref="C9">IFERROR(INDEX(_pro01[Department Stakeholder?], SMALL(IF(_pro01[Success Indicator]&lt;&gt; "Removed", ROW(_pro01[Department Stakeholder?])-ROW(INDEX(_pro01[Department Stakeholder?],1,1))+1), ROW(5:5))), "") &amp; ""</f>
        <v>Senior Accessible Technology Services Coordinator</v>
      </c>
      <c r="D9" s="1" t="str" cm="1">
        <f t="array" ref="D9">IFERROR(INDEX(_pro01[2021 Status], SMALL(IF(_pro01[Success Indicator]&lt;&gt; "Removed", ROW(_pro01[2021 Status])-ROW(INDEX(_pro01[2021 Status],1,1))+1), ROW(5:5))), "") &amp; ""</f>
        <v>Established</v>
      </c>
      <c r="E9" s="53" t="str" cm="1">
        <f t="array" ref="E9">IFERROR(INDEX(_pro01[2021 Evidence], SMALL(IF(_pro01[Success Indicator]&lt;&gt; "Removed", ROW(_pro01[2021 Evidence])-ROW(INDEX(_pro01[2021 Evidence],1,1))+1), ROW(5:5))), "") &amp; ""</f>
        <v>ATS Program Manager; Accessible Procurement Analysthttps://sfsu.box.com/s/diiwm004t6grf5qnsvy9zssx2ynmpawz</v>
      </c>
      <c r="F9" s="1"/>
      <c r="G9" s="1" t="s">
        <v>33</v>
      </c>
      <c r="H9" s="1"/>
      <c r="I9" s="1"/>
      <c r="J9" s="184">
        <f>IF(ISBLANK(_pro01_gap[[#This Row],[2023 Status]]), "2023 Status Empty",
IF(_pro01_gap[[#This Row],[2023 Status]] = "Not Started", -5,
IFERROR(
    IF(VLOOKUP(_pro01_gap[[#This Row],[2021 Status]], _statuses[Status Level]:_statuses[Status Value], 7, FALSE) &gt; VLOOKUP(_pro01_gap[[#This Row],[2023 Status]], _statuses[Status Level]:_statuses[Status Value], 7, FALSE),
    -ABS(VLOOKUP(_pro01_gap[[#This Row],[2021 Status]], _statuses[Status Level]:_statuses[Status Value], 7, FALSE) - VLOOKUP(_pro01_gap[[#This Row],[2023 Status]], _statuses[Status Level]:_statuses[Status Value], 7, FALSE)),
    ABS(VLOOKUP(_pro01_gap[[#This Row],[2021 Status]], _statuses[Status Level]:_statuses[Status Value], 7, FALSE) - VLOOKUP(_pro01_gap[[#This Row],[2023 Status]], _statuses[Status Level]:_statuses[Status Value], 7, FALSE))),
"Error in Calculation")
))</f>
        <v>0</v>
      </c>
    </row>
    <row r="10" spans="1:12" ht="72.5" x14ac:dyDescent="0.35">
      <c r="A10" s="186" t="str" cm="1">
        <f t="array" ref="A10">IFERROR(INDEX(_pro01[Goal '#], SMALL(IF(_pro01[Success Indicator]&lt;&gt; "Removed", ROW(_pro01[Goal '#])-ROW(INDEX(_pro01[Goal '#],1,1))+1), ROW(6:6))), "") &amp; ""</f>
        <v>1.9</v>
      </c>
      <c r="B10" s="53" t="str" cm="1">
        <f t="array" ref="B10">IFERROR(INDEX(_pro01[Success Indicator], SMALL(IF(_pro01[Success Indicator]&lt;&gt; "Removed", ROW(_pro01[Success Indicator])-ROW(INDEX(_pro01[Success Indicator],1,1))+1), ROW(6:6))), "") &amp; ""</f>
        <v>(NEW) Developed a process to evaluate Section 508 compliance for campus adoptions of procurements made by multiple campuses or at the systemwide level (e.g., Master Enabling Agreements).</v>
      </c>
      <c r="C10" s="1" t="str" cm="1">
        <f t="array" ref="C10">IFERROR(INDEX(_pro01[Department Stakeholder?], SMALL(IF(_pro01[Success Indicator]&lt;&gt; "Removed", ROW(_pro01[Department Stakeholder?])-ROW(INDEX(_pro01[Department Stakeholder?],1,1))+1), ROW(6:6))), "") &amp; ""</f>
        <v>Senior Accessible Technology Services Coordinator</v>
      </c>
      <c r="D10" s="1" t="str" cm="1">
        <f t="array" ref="D10">IFERROR(INDEX(_pro01[2021 Status], SMALL(IF(_pro01[Success Indicator]&lt;&gt; "Removed", ROW(_pro01[2021 Status])-ROW(INDEX(_pro01[2021 Status],1,1))+1), ROW(6:6))), "") &amp; ""</f>
        <v>Established</v>
      </c>
      <c r="E10" s="53" t="str" cm="1">
        <f t="array" ref="E10">IFERROR(INDEX(_pro01[2021 Evidence], SMALL(IF(_pro01[Success Indicator]&lt;&gt; "Removed", ROW(_pro01[2021 Evidence])-ROW(INDEX(_pro01[2021 Evidence],1,1))+1), ROW(6:6))), "") &amp; ""</f>
        <v>ATS Program Manager; Accessible Procurement Analyst https://sfsu.box.com/s/diiwm004t6grf5qnsvy9zssx2ynmpawz</v>
      </c>
      <c r="F10" s="174" t="s">
        <v>88</v>
      </c>
      <c r="G10" s="1" t="s">
        <v>38</v>
      </c>
      <c r="H10" s="1"/>
      <c r="I10" s="1" t="s">
        <v>591</v>
      </c>
      <c r="J10" s="184">
        <f>IF(ISBLANK(_pro01_gap[[#This Row],[2023 Status]]), "2023 Status Empty",
IF(_pro01_gap[[#This Row],[2023 Status]] = "Not Started", -5,
IFERROR(
    IF(VLOOKUP(_pro01_gap[[#This Row],[2021 Status]], _statuses[Status Level]:_statuses[Status Value], 7, FALSE) &gt; VLOOKUP(_pro01_gap[[#This Row],[2023 Status]], _statuses[Status Level]:_statuses[Status Value], 7, FALSE),
    -ABS(VLOOKUP(_pro01_gap[[#This Row],[2021 Status]], _statuses[Status Level]:_statuses[Status Value], 7, FALSE) - VLOOKUP(_pro01_gap[[#This Row],[2023 Status]], _statuses[Status Level]:_statuses[Status Value], 7, FALSE)),
    ABS(VLOOKUP(_pro01_gap[[#This Row],[2021 Status]], _statuses[Status Level]:_statuses[Status Value], 7, FALSE) - VLOOKUP(_pro01_gap[[#This Row],[2023 Status]], _statuses[Status Level]:_statuses[Status Value], 7, FALSE))),
"Error in Calculation")
))</f>
        <v>-1</v>
      </c>
    </row>
    <row r="11" spans="1:12" ht="58" x14ac:dyDescent="0.35">
      <c r="A11" s="186" t="str" cm="1">
        <f t="array" ref="A11">IFERROR(INDEX(_pro01[Goal '#], SMALL(IF(_pro01[Success Indicator]&lt;&gt; "Removed", ROW(_pro01[Goal '#])-ROW(INDEX(_pro01[Goal '#],1,1))+1), ROW(7:7))), "") &amp; ""</f>
        <v>1.10</v>
      </c>
      <c r="B11" s="53" t="str" cm="1">
        <f t="array" ref="B11">IFERROR(INDEX(_pro01[Success Indicator], SMALL(IF(_pro01[Success Indicator]&lt;&gt; "Removed", ROW(_pro01[Success Indicator])-ROW(INDEX(_pro01[Success Indicator],1,1))+1), ROW(7:7))), "") &amp; ""</f>
        <v>(Was 2.2) Developed a process so that vendors and campus members involved in ICT procurements know who to contact for assistance, resources, and support.</v>
      </c>
      <c r="C11" s="1" t="str" cm="1">
        <f t="array" ref="C11">IFERROR(INDEX(_pro01[Department Stakeholder?], SMALL(IF(_pro01[Success Indicator]&lt;&gt; "Removed", ROW(_pro01[Department Stakeholder?])-ROW(INDEX(_pro01[Department Stakeholder?],1,1))+1), ROW(7:7))), "") &amp; ""</f>
        <v>Senior Accessible Technology Services Coordinator</v>
      </c>
      <c r="D11" s="1" t="str" cm="1">
        <f t="array" ref="D11">IFERROR(INDEX(_pro01[2021 Status], SMALL(IF(_pro01[Success Indicator]&lt;&gt; "Removed", ROW(_pro01[2021 Status])-ROW(INDEX(_pro01[2021 Status],1,1))+1), ROW(7:7))), "") &amp; ""</f>
        <v>Established</v>
      </c>
      <c r="E11" s="53" t="str" cm="1">
        <f t="array" ref="E11">IFERROR(INDEX(_pro01[2021 Evidence], SMALL(IF(_pro01[Success Indicator]&lt;&gt; "Removed", ROW(_pro01[2021 Evidence])-ROW(INDEX(_pro01[2021 Evidence],1,1))+1), ROW(7:7))), "") &amp; ""</f>
        <v>ATS Program Manager; Accessible Procurement Analyst https://sfsu.box.com/s/diiwm004t6grf5qnsvy9zssx2ynmpawz</v>
      </c>
      <c r="F11" s="174" t="s">
        <v>90</v>
      </c>
      <c r="G11" s="1" t="s">
        <v>38</v>
      </c>
      <c r="H11" s="1"/>
      <c r="I11" s="1" t="s">
        <v>592</v>
      </c>
      <c r="J11" s="184">
        <f>IF(ISBLANK(_pro01_gap[[#This Row],[2023 Status]]), "2023 Status Empty",
IF(_pro01_gap[[#This Row],[2023 Status]] = "Not Started", -5,
IFERROR(
    IF(VLOOKUP(_pro01_gap[[#This Row],[2021 Status]], _statuses[Status Level]:_statuses[Status Value], 7, FALSE) &gt; VLOOKUP(_pro01_gap[[#This Row],[2023 Status]], _statuses[Status Level]:_statuses[Status Value], 7, FALSE),
    -ABS(VLOOKUP(_pro01_gap[[#This Row],[2021 Status]], _statuses[Status Level]:_statuses[Status Value], 7, FALSE) - VLOOKUP(_pro01_gap[[#This Row],[2023 Status]], _statuses[Status Level]:_statuses[Status Value], 7, FALSE)),
    ABS(VLOOKUP(_pro01_gap[[#This Row],[2021 Status]], _statuses[Status Level]:_statuses[Status Value], 7, FALSE) - VLOOKUP(_pro01_gap[[#This Row],[2023 Status]], _statuses[Status Level]:_statuses[Status Value], 7, FALSE))),
"Error in Calculation")
))</f>
        <v>-1</v>
      </c>
    </row>
    <row r="12" spans="1:12" ht="58.5" thickBot="1" x14ac:dyDescent="0.4">
      <c r="A12" s="186" t="str" cm="1">
        <f t="array" ref="A12">IFERROR(INDEX(_pro01[Goal '#], SMALL(IF(_pro01[Success Indicator]&lt;&gt; "Removed", ROW(_pro01[Goal '#])-ROW(INDEX(_pro01[Goal '#],1,1))+1), ROW(8:8))), "") &amp; ""</f>
        <v>1.11</v>
      </c>
      <c r="B12" s="53" t="str" cm="1">
        <f t="array" ref="B12">IFERROR(INDEX(_pro01[Success Indicator], SMALL(IF(_pro01[Success Indicator]&lt;&gt; "Removed", ROW(_pro01[Success Indicator])-ROW(INDEX(_pro01[Success Indicator],1,1))+1), ROW(8:8))), "") &amp; ""</f>
        <v>NEW Assigned authority and responsibility for the ICT procurement process to a body (person(s) or business entity).</v>
      </c>
      <c r="C12" s="1" t="str" cm="1">
        <f t="array" ref="C12">IFERROR(INDEX(_pro01[Department Stakeholder?], SMALL(IF(_pro01[Success Indicator]&lt;&gt; "Removed", ROW(_pro01[Department Stakeholder?])-ROW(INDEX(_pro01[Department Stakeholder?],1,1))+1), ROW(8:8))), "") &amp; ""</f>
        <v>Senior Accessible Technology Services Coordinator</v>
      </c>
      <c r="D12" s="1" t="str" cm="1">
        <f t="array" ref="D12">IFERROR(INDEX(_pro01[2021 Status], SMALL(IF(_pro01[Success Indicator]&lt;&gt; "Removed", ROW(_pro01[2021 Status])-ROW(INDEX(_pro01[2021 Status],1,1))+1), ROW(8:8))), "") &amp; ""</f>
        <v>Established</v>
      </c>
      <c r="E12" s="53" t="str" cm="1">
        <f t="array" ref="E12">IFERROR(INDEX(_pro01[2021 Evidence], SMALL(IF(_pro01[Success Indicator]&lt;&gt; "Removed", ROW(_pro01[2021 Evidence])-ROW(INDEX(_pro01[2021 Evidence],1,1))+1), ROW(8:8))), "") &amp; ""</f>
        <v>ATS Program Manager; Accessible Procurement Analyst https://sfsu.box.com/s/diiwm004t6grf5qnsvy9zssx2ynmpawz</v>
      </c>
      <c r="F12" s="1"/>
      <c r="G12" s="1" t="s">
        <v>33</v>
      </c>
      <c r="H12" s="1"/>
      <c r="I12" s="1"/>
      <c r="J12" s="185">
        <f>IF(ISBLANK(_pro01_gap[[#This Row],[2023 Status]]), "2023 Status Empty",
IF(_pro01_gap[[#This Row],[2023 Status]] = "Not Started", -5,
IFERROR(
    IF(VLOOKUP(_pro01_gap[[#This Row],[2021 Status]], _statuses[Status Level]:_statuses[Status Value], 7, FALSE) &gt; VLOOKUP(_pro01_gap[[#This Row],[2023 Status]], _statuses[Status Level]:_statuses[Status Value], 7, FALSE),
    -ABS(VLOOKUP(_pro01_gap[[#This Row],[2021 Status]], _statuses[Status Level]:_statuses[Status Value], 7, FALSE) - VLOOKUP(_pro01_gap[[#This Row],[2023 Status]], _statuses[Status Level]:_statuses[Status Value], 7, FALSE)),
    ABS(VLOOKUP(_pro01_gap[[#This Row],[2021 Status]], _statuses[Status Level]:_statuses[Status Value], 7, FALSE) - VLOOKUP(_pro01_gap[[#This Row],[2023 Status]], _statuses[Status Level]:_statuses[Status Value], 7, FALSE))),
"Error in Calculation")
))</f>
        <v>0</v>
      </c>
    </row>
    <row r="13" spans="1:12" x14ac:dyDescent="0.35">
      <c r="B13" s="1"/>
      <c r="C13" s="1"/>
      <c r="E13" s="1"/>
      <c r="F13" s="1"/>
    </row>
    <row r="14" spans="1:12" x14ac:dyDescent="0.35">
      <c r="B14" s="1"/>
      <c r="C14" s="1"/>
      <c r="E14" s="1"/>
      <c r="F14" s="1"/>
    </row>
    <row r="15" spans="1:12" ht="15" thickBot="1" x14ac:dyDescent="0.4">
      <c r="A15" t="s">
        <v>3</v>
      </c>
      <c r="B15" s="1" t="s">
        <v>4</v>
      </c>
      <c r="C15" t="s">
        <v>5</v>
      </c>
      <c r="D15" t="s">
        <v>238</v>
      </c>
      <c r="E15" t="s">
        <v>6</v>
      </c>
      <c r="F15" t="s">
        <v>7</v>
      </c>
      <c r="G15" t="s">
        <v>8</v>
      </c>
      <c r="H15" t="s">
        <v>10</v>
      </c>
      <c r="I15" t="s">
        <v>11</v>
      </c>
      <c r="J15" t="s">
        <v>590</v>
      </c>
    </row>
    <row r="16" spans="1:12" ht="90.65" customHeight="1" thickBot="1" x14ac:dyDescent="0.4">
      <c r="A16" s="174" t="str" cm="1">
        <f t="array" ref="A16">IFERROR(INDEX(_pro04[Goal '#], SMALL(IF(_pro04[Success Indicator]&lt;&gt; "Removed", ROW(_pro04[Goal '#])-ROW(INDEX(_pro04[Goal '#],1,1))+1), ROW(1:1))), "") &amp; ""</f>
        <v>4.6</v>
      </c>
      <c r="B16" s="53" t="str" cm="1">
        <f t="array" ref="B16">IFERROR(INDEX(_pro04[Success Indicator], SMALL(IF(_pro04[Success Indicator]&lt;&gt; "Removed", ROW(_pro04[Success Indicator])-ROW(INDEX(_pro04[Success Indicator],1,1))+1), ROW(1:1))), "") &amp; ""</f>
        <v>(NEW) Develop a process for providing equally effective alternate access. The process must outline when an Equally Effective Alternate Access Plan (EEAAP) is required, assigned roles and responsibilities, and distribution strategy.</v>
      </c>
      <c r="C16" s="1" t="str" cm="1">
        <f t="array" ref="C16">IFERROR(INDEX(_pro04[Department Stakeholder?], SMALL(IF(_pro04[Success Indicator]&lt;&gt; "Removed", ROW(_pro04[Department Stakeholder?])-ROW(INDEX(_pro04[Department Stakeholder?],1,1))+1), ROW(1:1))), "") &amp; ""</f>
        <v>Senior Accessible Technology Services Coordinator</v>
      </c>
      <c r="D16" s="1" t="str" cm="1">
        <f t="array" ref="D16">IFERROR(INDEX(_pro04[2021 Status], SMALL(IF(_pro04[Success Indicator]&lt;&gt; "Removed", ROW(_pro04[2021 Status])-ROW(INDEX(_pro04[2021 Status],1,1))+1), ROW(1:1))), "") &amp; ""</f>
        <v>Established</v>
      </c>
      <c r="E16" s="53" t="str" cm="1">
        <f t="array" ref="E16">IFERROR(INDEX(_pro04[2021 Evidence], SMALL(IF(_pro04[Success Indicator]&lt;&gt; "Removed", ROW(_pro04[2021 Evidence])-ROW(INDEX(_pro04[2021 Evidence],1,1))+1), ROW(1:1))), "") &amp; ""</f>
        <v>ATS Program Manager; Accessible Procurement Analyst https://sfsu.box.com/s/diiwm004t6grf5qnsvy9zssx2ynmpawz</v>
      </c>
      <c r="F16" s="1"/>
      <c r="G16" s="1" t="s">
        <v>33</v>
      </c>
      <c r="H16" s="1"/>
      <c r="I16" s="1"/>
      <c r="J16" s="182">
        <f>IF(ISBLANK(_pro04_gap[[#This Row],[2023 Status]]), "2023 Status Empty",
IF(_pro04_gap[[#This Row],[2023 Status]] = "Not Started", -5,
IFERROR(
    IF(VLOOKUP(_pro04_gap[[#This Row],[2021 Status]], _statuses[Status Level]:_statuses[Status Value], 7, FALSE) &gt; VLOOKUP(_pro04_gap[[#This Row],[2023 Status]], _statuses[Status Level]:_statuses[Status Value], 7, FALSE),
    -ABS(VLOOKUP(_pro04_gap[[#This Row],[2021 Status]], _statuses[Status Level]:_statuses[Status Value], 7, FALSE) - VLOOKUP(_pro04_gap[[#This Row],[2023 Status]], _statuses[Status Level]:_statuses[Status Value], 7, FALSE)),
    ABS(VLOOKUP(_pro04_gap[[#This Row],[2021 Status]], _statuses[Status Level]:_statuses[Status Value], 7, FALSE) - VLOOKUP(_pro04_gap[[#This Row],[2023 Status]], _statuses[Status Level]:_statuses[Status Value], 7, FALSE))),
"Error in Calculation")
))</f>
        <v>0</v>
      </c>
    </row>
    <row r="17" spans="1:10" x14ac:dyDescent="0.35">
      <c r="B17" s="1"/>
      <c r="C17" s="1"/>
      <c r="D17" s="1"/>
      <c r="E17" s="1"/>
      <c r="F17" s="1"/>
      <c r="G17" s="1"/>
      <c r="H17" s="1"/>
      <c r="I17" s="1"/>
    </row>
    <row r="18" spans="1:10" x14ac:dyDescent="0.35">
      <c r="B18" s="1"/>
      <c r="C18" s="1"/>
      <c r="D18" s="1"/>
      <c r="E18" s="1"/>
      <c r="F18" s="1"/>
      <c r="G18" s="1"/>
      <c r="H18" s="1"/>
      <c r="I18" s="1"/>
    </row>
    <row r="19" spans="1:10" x14ac:dyDescent="0.35">
      <c r="B19" s="1"/>
      <c r="C19" s="1"/>
      <c r="D19" s="1"/>
      <c r="E19" s="1"/>
      <c r="F19" s="1"/>
      <c r="G19" s="1"/>
      <c r="H19" s="1"/>
      <c r="I19" s="1"/>
    </row>
    <row r="20" spans="1:10" ht="15" thickBot="1" x14ac:dyDescent="0.4">
      <c r="A20" t="s">
        <v>3</v>
      </c>
      <c r="B20" s="1" t="s">
        <v>4</v>
      </c>
      <c r="C20" t="s">
        <v>5</v>
      </c>
      <c r="D20" t="s">
        <v>238</v>
      </c>
      <c r="E20" t="s">
        <v>6</v>
      </c>
      <c r="F20" t="s">
        <v>7</v>
      </c>
      <c r="G20" t="s">
        <v>8</v>
      </c>
      <c r="H20" t="s">
        <v>10</v>
      </c>
      <c r="I20" t="s">
        <v>11</v>
      </c>
      <c r="J20" t="s">
        <v>590</v>
      </c>
    </row>
    <row r="21" spans="1:10" ht="144" customHeight="1" x14ac:dyDescent="0.35">
      <c r="A21" s="174" t="str" cm="1">
        <f t="array" ref="A21">IFERROR(INDEX(_pro05[Goal '#], SMALL(IF(_pro05[Success Indicator]&lt;&gt; "Removed", ROW(_pro05[Goal '#])-ROW(INDEX(_pro05[Goal '#],1,1))+1), ROW(1:1))), "") &amp; ""</f>
        <v>5.1</v>
      </c>
      <c r="B21" s="53" t="str" cm="1">
        <f t="array" ref="B21">IFERROR(INDEX(_pro05[Success Indicator], SMALL(IF(_pro05[Success Indicator]&lt;&gt; "Removed", ROW(_pro05[Success Indicator])-ROW(INDEX(_pro05[Success Indicator],1,1))+1), ROW(1:1))), "") &amp; ""</f>
        <v>Developed a process to integrate accessible procurement information into new employee orientation .</v>
      </c>
      <c r="C21" s="1" t="str" cm="1">
        <f t="array" ref="C21">IFERROR(INDEX(_pro05[Department Stakeholder?], SMALL(IF(_pro05[Success Indicator]&lt;&gt; "Removed", ROW(_pro05[Department Stakeholder?])-ROW(INDEX(_pro05[Department Stakeholder?],1,1))+1), ROW(1:1))), "") &amp; ""</f>
        <v>Director of Procurement</v>
      </c>
      <c r="D21" s="1" t="str" cm="1">
        <f t="array" ref="D21">IFERROR(INDEX(_pro05[2021 Status], SMALL(IF(_pro05[Success Indicator]&lt;&gt; "Removed", ROW(_pro05[2021 Status])-ROW(INDEX(_pro05[2021 Status],1,1))+1), ROW(1:1))), "") &amp; ""</f>
        <v>Established</v>
      </c>
      <c r="E21" s="53" t="str" cm="1">
        <f t="array" ref="E21">IFERROR(INDEX(_pro05[2021 Evidence], SMALL(IF(_pro05[Success Indicator]&lt;&gt; "Removed", ROW(_pro05[2021 Evidence])-ROW(INDEX(_pro05[2021 Evidence],1,1))+1), ROW(1:1))), "") &amp; ""</f>
        <v xml:space="preserve">Buyer III All purchase requestors and admin staff receive customized training and are informed of the TAR process when appropriate. Reminders are sent out in newsletters and procedures are outlined on the procurement website. Evidence below https://procurement.sfsu.edu/sites/default/files/documents/Procurement%20%26%20Support%20Services%20Newsletter%20Fall%202019.pdf https://procurement.sfsu.edu/faqsgs https://procurement.sfsu.edu/buying </v>
      </c>
      <c r="F21" s="53" t="s">
        <v>593</v>
      </c>
      <c r="G21" s="1" t="s">
        <v>42</v>
      </c>
      <c r="H21" s="1" t="s">
        <v>629</v>
      </c>
      <c r="I21" s="151"/>
      <c r="J21" s="179">
        <f>IF(ISBLANK(_pro05_gap[[#This Row],[2023 Status]]), "2023 Status Empty",
IF(_pro05_gap[[#This Row],[2023 Status]] = "Not Started", -5,
IFERROR(
    IF(VLOOKUP(_pro05_gap[[#This Row],[2021 Status]], _statuses[Status Level]:_statuses[Status Value], 7, FALSE) &gt; VLOOKUP(_pro05_gap[[#This Row],[2023 Status]], _statuses[Status Level]:_statuses[Status Value], 7, FALSE),
    -ABS(VLOOKUP(_pro05_gap[[#This Row],[2021 Status]], _statuses[Status Level]:_statuses[Status Value], 7, FALSE) - VLOOKUP(_pro05_gap[[#This Row],[2023 Status]], _statuses[Status Level]:_statuses[Status Value], 7, FALSE)),
    ABS(VLOOKUP(_pro05_gap[[#This Row],[2021 Status]], _statuses[Status Level]:_statuses[Status Value], 7, FALSE) - VLOOKUP(_pro05_gap[[#This Row],[2023 Status]], _statuses[Status Level]:_statuses[Status Value], 7, FALSE))),
"Error in Calculation")
))</f>
        <v>-2</v>
      </c>
    </row>
    <row r="22" spans="1:10" ht="72.5" x14ac:dyDescent="0.35">
      <c r="A22" s="174" t="str" cm="1">
        <f t="array" ref="A22">IFERROR(INDEX(_pro05[Goal '#], SMALL(IF(_pro05[Success Indicator]&lt;&gt; "Removed", ROW(_pro05[Goal '#])-ROW(INDEX(_pro05[Goal '#],1,1))+1), ROW(2:2))), "") &amp; ""</f>
        <v>5.2</v>
      </c>
      <c r="B22" s="53" t="str" cm="1">
        <f t="array" ref="B22">IFERROR(INDEX(_pro05[Success Indicator], SMALL(IF(_pro05[Success Indicator]&lt;&gt; "Removed", ROW(_pro05[Success Indicator])-ROW(INDEX(_pro05[Success Indicator],1,1))+1), ROW(2:2))), "") &amp; ""</f>
        <v xml:space="preserve">	Developed a training process for purchase requestors and administrative support staff. </v>
      </c>
      <c r="C22" s="1" t="str" cm="1">
        <f t="array" ref="C22">IFERROR(INDEX(_pro05[Department Stakeholder?], SMALL(IF(_pro05[Success Indicator]&lt;&gt; "Removed", ROW(_pro05[Department Stakeholder?])-ROW(INDEX(_pro05[Department Stakeholder?],1,1))+1), ROW(2:2))), "") &amp; ""</f>
        <v>Director of Procurement</v>
      </c>
      <c r="D22" s="1" t="str" cm="1">
        <f t="array" ref="D22">IFERROR(INDEX(_pro05[2021 Status], SMALL(IF(_pro05[Success Indicator]&lt;&gt; "Removed", ROW(_pro05[2021 Status])-ROW(INDEX(_pro05[2021 Status],1,1))+1), ROW(2:2))), "") &amp; ""</f>
        <v>Established</v>
      </c>
      <c r="E22" s="53" t="str" cm="1">
        <f t="array" ref="E22">IFERROR(INDEX(_pro05[2021 Evidence], SMALL(IF(_pro05[Success Indicator]&lt;&gt; "Removed", ROW(_pro05[2021 Evidence])-ROW(INDEX(_pro05[2021 Evidence],1,1))+1), ROW(2:2))), "") &amp; ""</f>
        <v>Information technology staff are not specifically trained on ICT procurement. All staff with purchasing access are trained on this process. We do not distinguish them from non-IT staff so using same status level as 5.2</v>
      </c>
      <c r="F22" s="53"/>
      <c r="G22" s="1" t="s">
        <v>42</v>
      </c>
      <c r="H22" s="1" t="s">
        <v>51</v>
      </c>
      <c r="I22" s="151" t="s">
        <v>594</v>
      </c>
      <c r="J22" s="181">
        <f>IF(ISBLANK(_pro05_gap[[#This Row],[2023 Status]]), "2023 Status Empty",
IF(_pro05_gap[[#This Row],[2023 Status]] = "Not Started", -5,
IFERROR(
    IF(VLOOKUP(_pro05_gap[[#This Row],[2021 Status]], _statuses[Status Level]:_statuses[Status Value], 7, FALSE) &gt; VLOOKUP(_pro05_gap[[#This Row],[2023 Status]], _statuses[Status Level]:_statuses[Status Value], 7, FALSE),
    -ABS(VLOOKUP(_pro05_gap[[#This Row],[2021 Status]], _statuses[Status Level]:_statuses[Status Value], 7, FALSE) - VLOOKUP(_pro05_gap[[#This Row],[2023 Status]], _statuses[Status Level]:_statuses[Status Value], 7, FALSE)),
    ABS(VLOOKUP(_pro05_gap[[#This Row],[2021 Status]], _statuses[Status Level]:_statuses[Status Value], 7, FALSE) - VLOOKUP(_pro05_gap[[#This Row],[2023 Status]], _statuses[Status Level]:_statuses[Status Value], 7, FALSE))),
"Error in Calculation")
))</f>
        <v>-2</v>
      </c>
    </row>
    <row r="23" spans="1:10" ht="43.5" x14ac:dyDescent="0.35">
      <c r="A23" s="174" t="str" cm="1">
        <f t="array" ref="A23">IFERROR(INDEX(_pro05[Goal '#], SMALL(IF(_pro05[Success Indicator]&lt;&gt; "Removed", ROW(_pro05[Goal '#])-ROW(INDEX(_pro05[Goal '#],1,1))+1), ROW(3:3))), "") &amp; ""</f>
        <v>5.3</v>
      </c>
      <c r="B23" s="53" t="str" cm="1">
        <f t="array" ref="B23">IFERROR(INDEX(_pro05[Success Indicator], SMALL(IF(_pro05[Success Indicator]&lt;&gt; "Removed", ROW(_pro05[Success Indicator])-ROW(INDEX(_pro05[Success Indicator],1,1))+1), ROW(3:3))), "") &amp; ""</f>
        <v>Developed a training process for technology support staff (e.g., Information Technology Consultants).</v>
      </c>
      <c r="C23" s="1" t="str" cm="1">
        <f t="array" ref="C23">IFERROR(INDEX(_pro05[Department Stakeholder?], SMALL(IF(_pro05[Success Indicator]&lt;&gt; "Removed", ROW(_pro05[Department Stakeholder?])-ROW(INDEX(_pro05[Department Stakeholder?],1,1))+1), ROW(3:3))), "") &amp; ""</f>
        <v>Director of Procurement</v>
      </c>
      <c r="D23" s="1" t="str" cm="1">
        <f t="array" ref="D23">IFERROR(INDEX(_pro05[2021 Status], SMALL(IF(_pro05[Success Indicator]&lt;&gt; "Removed", ROW(_pro05[2021 Status])-ROW(INDEX(_pro05[2021 Status],1,1))+1), ROW(3:3))), "") &amp; ""</f>
        <v>Established</v>
      </c>
      <c r="E23" s="53" t="str" cm="1">
        <f t="array" ref="E23">IFERROR(INDEX(_pro05[2021 Evidence], SMALL(IF(_pro05[Success Indicator]&lt;&gt; "Removed", ROW(_pro05[2021 Evidence])-ROW(INDEX(_pro05[2021 Evidence],1,1))+1), ROW(3:3))), "") &amp; ""</f>
        <v>Director of Procurement; ATS Program Manager https://procurement.sfsu.edu/buying</v>
      </c>
      <c r="F23" s="178" t="s">
        <v>54</v>
      </c>
      <c r="G23" s="1" t="s">
        <v>42</v>
      </c>
      <c r="H23" s="1" t="s">
        <v>51</v>
      </c>
      <c r="I23" s="151" t="s">
        <v>594</v>
      </c>
      <c r="J23" s="181">
        <f>IF(ISBLANK(_pro05_gap[[#This Row],[2023 Status]]), "2023 Status Empty",
IF(_pro05_gap[[#This Row],[2023 Status]] = "Not Started", -5,
IFERROR(
    IF(VLOOKUP(_pro05_gap[[#This Row],[2021 Status]], _statuses[Status Level]:_statuses[Status Value], 7, FALSE) &gt; VLOOKUP(_pro05_gap[[#This Row],[2023 Status]], _statuses[Status Level]:_statuses[Status Value], 7, FALSE),
    -ABS(VLOOKUP(_pro05_gap[[#This Row],[2021 Status]], _statuses[Status Level]:_statuses[Status Value], 7, FALSE) - VLOOKUP(_pro05_gap[[#This Row],[2023 Status]], _statuses[Status Level]:_statuses[Status Value], 7, FALSE)),
    ABS(VLOOKUP(_pro05_gap[[#This Row],[2021 Status]], _statuses[Status Level]:_statuses[Status Value], 7, FALSE) - VLOOKUP(_pro05_gap[[#This Row],[2023 Status]], _statuses[Status Level]:_statuses[Status Value], 7, FALSE))),
"Error in Calculation")
))</f>
        <v>-2</v>
      </c>
    </row>
    <row r="24" spans="1:10" ht="87" x14ac:dyDescent="0.35">
      <c r="A24" s="174" t="str" cm="1">
        <f t="array" ref="A24">IFERROR(INDEX(_pro05[Goal '#], SMALL(IF(_pro05[Success Indicator]&lt;&gt; "Removed", ROW(_pro05[Goal '#])-ROW(INDEX(_pro05[Goal '#],1,1))+1), ROW(4:4))), "") &amp; ""</f>
        <v>5.4</v>
      </c>
      <c r="B24" s="53" t="str" cm="1">
        <f t="array" ref="B24">IFERROR(INDEX(_pro05[Success Indicator], SMALL(IF(_pro05[Success Indicator]&lt;&gt; "Removed", ROW(_pro05[Success Indicator])-ROW(INDEX(_pro05[Success Indicator],1,1))+1), ROW(4:4))), "") &amp; ""</f>
        <v>Developed a training process for Buyers (procurement staff).</v>
      </c>
      <c r="C24" s="1" t="str" cm="1">
        <f t="array" ref="C24">IFERROR(INDEX(_pro05[Department Stakeholder?], SMALL(IF(_pro05[Success Indicator]&lt;&gt; "Removed", ROW(_pro05[Department Stakeholder?])-ROW(INDEX(_pro05[Department Stakeholder?],1,1))+1), ROW(4:4))), "") &amp; ""</f>
        <v>Director of Procurement</v>
      </c>
      <c r="D24" s="1" t="str" cm="1">
        <f t="array" ref="D24">IFERROR(INDEX(_pro05[2021 Status], SMALL(IF(_pro05[Success Indicator]&lt;&gt; "Removed", ROW(_pro05[2021 Status])-ROW(INDEX(_pro05[2021 Status],1,1))+1), ROW(4:4))), "") &amp; ""</f>
        <v>Established</v>
      </c>
      <c r="E24" s="53" t="str" cm="1">
        <f t="array" ref="E24">IFERROR(INDEX(_pro05[2021 Evidence], SMALL(IF(_pro05[Success Indicator]&lt;&gt; "Removed", ROW(_pro05[2021 Evidence])-ROW(INDEX(_pro05[2021 Evidence],1,1))+1), ROW(4:4))), "") &amp; ""</f>
        <v>Administrative Analyst/Specialists;Training is in place for all p-card holders and other fiscal users. New p-card users receive this training and information on the process is sent as a reminder monthly. Samples at Box\ATI\Admin\Evidence for Annual Reports\</v>
      </c>
      <c r="F24" s="178" t="s">
        <v>57</v>
      </c>
      <c r="G24" s="1" t="s">
        <v>15</v>
      </c>
      <c r="H24" s="1"/>
      <c r="I24" s="151"/>
      <c r="J24" s="181">
        <f>IF(ISBLANK(_pro05_gap[[#This Row],[2023 Status]]), "2023 Status Empty",
IF(_pro05_gap[[#This Row],[2023 Status]] = "Not Started", -5,
IFERROR(
    IF(VLOOKUP(_pro05_gap[[#This Row],[2021 Status]], _statuses[Status Level]:_statuses[Status Value], 7, FALSE) &gt; VLOOKUP(_pro05_gap[[#This Row],[2023 Status]], _statuses[Status Level]:_statuses[Status Value], 7, FALSE),
    -ABS(VLOOKUP(_pro05_gap[[#This Row],[2021 Status]], _statuses[Status Level]:_statuses[Status Value], 7, FALSE) - VLOOKUP(_pro05_gap[[#This Row],[2023 Status]], _statuses[Status Level]:_statuses[Status Value], 7, FALSE)),
    ABS(VLOOKUP(_pro05_gap[[#This Row],[2021 Status]], _statuses[Status Level]:_statuses[Status Value], 7, FALSE) - VLOOKUP(_pro05_gap[[#This Row],[2023 Status]], _statuses[Status Level]:_statuses[Status Value], 7, FALSE))),
"Error in Calculation")
))</f>
        <v>-5</v>
      </c>
    </row>
    <row r="25" spans="1:10" ht="145" x14ac:dyDescent="0.35">
      <c r="A25" s="174" t="str" cm="1">
        <f t="array" ref="A25">IFERROR(INDEX(_pro05[Goal '#], SMALL(IF(_pro05[Success Indicator]&lt;&gt; "Removed", ROW(_pro05[Goal '#])-ROW(INDEX(_pro05[Goal '#],1,1))+1), ROW(5:5))), "") &amp; ""</f>
        <v>5.5</v>
      </c>
      <c r="B25" s="53" t="str" cm="1">
        <f t="array" ref="B25">IFERROR(INDEX(_pro05[Success Indicator], SMALL(IF(_pro05[Success Indicator]&lt;&gt; "Removed", ROW(_pro05[Success Indicator])-ROW(INDEX(_pro05[Success Indicator],1,1))+1), ROW(5:5))), "") &amp; ""</f>
        <v>Developed a training process for all purchase card holders.</v>
      </c>
      <c r="C25" s="1" t="str" cm="1">
        <f t="array" ref="C25">IFERROR(INDEX(_pro05[Department Stakeholder?], SMALL(IF(_pro05[Success Indicator]&lt;&gt; "Removed", ROW(_pro05[Department Stakeholder?])-ROW(INDEX(_pro05[Department Stakeholder?],1,1))+1), ROW(5:5))), "") &amp; ""</f>
        <v>Director of Procurement</v>
      </c>
      <c r="D25" s="1" t="str" cm="1">
        <f t="array" ref="D25">IFERROR(INDEX(_pro05[2021 Status], SMALL(IF(_pro05[Success Indicator]&lt;&gt; "Removed", ROW(_pro05[2021 Status])-ROW(INDEX(_pro05[2021 Status],1,1))+1), ROW(5:5))), "") &amp; ""</f>
        <v>Established</v>
      </c>
      <c r="E25" s="53" t="str" cm="1">
        <f t="array" ref="E25">IFERROR(INDEX(_pro05[2021 Evidence], SMALL(IF(_pro05[Success Indicator]&lt;&gt; "Removed", ROW(_pro05[2021 Evidence])-ROW(INDEX(_pro05[2021 Evidence],1,1))+1), ROW(5:5))), "") &amp; ""</f>
        <v>Buyer III; All purchase requestors and admin staff receive customized training and are informed of the TAR process when appropriate. Reminders are sent out in newsletters and procedures are outlined on the procurement website. Evidence below https://procurement.sfsu.edu/sites/default/files/documents/Procurement%20%26%20Support%20Services%20Newsletter%20Fall%202019.pdf https://procurement.sfsu.edu/faqsgs https://procurement.sfsu.edu/buying</v>
      </c>
      <c r="F25" s="178" t="s">
        <v>48</v>
      </c>
      <c r="G25" s="1" t="s">
        <v>33</v>
      </c>
      <c r="H25" s="1" t="s">
        <v>630</v>
      </c>
      <c r="I25" s="151"/>
      <c r="J25" s="181">
        <f>IF(ISBLANK(_pro05_gap[[#This Row],[2023 Status]]), "2023 Status Empty",
IF(_pro05_gap[[#This Row],[2023 Status]] = "Not Started", -5,
IFERROR(
    IF(VLOOKUP(_pro05_gap[[#This Row],[2021 Status]], _statuses[Status Level]:_statuses[Status Value], 7, FALSE) &gt; VLOOKUP(_pro05_gap[[#This Row],[2023 Status]], _statuses[Status Level]:_statuses[Status Value], 7, FALSE),
    -ABS(VLOOKUP(_pro05_gap[[#This Row],[2021 Status]], _statuses[Status Level]:_statuses[Status Value], 7, FALSE) - VLOOKUP(_pro05_gap[[#This Row],[2023 Status]], _statuses[Status Level]:_statuses[Status Value], 7, FALSE)),
    ABS(VLOOKUP(_pro05_gap[[#This Row],[2021 Status]], _statuses[Status Level]:_statuses[Status Value], 7, FALSE) - VLOOKUP(_pro05_gap[[#This Row],[2023 Status]], _statuses[Status Level]:_statuses[Status Value], 7, FALSE))),
"Error in Calculation")
))</f>
        <v>0</v>
      </c>
    </row>
    <row r="26" spans="1:10" ht="116" x14ac:dyDescent="0.35">
      <c r="A26" s="174" t="str" cm="1">
        <f t="array" ref="A26">IFERROR(INDEX(_pro05[Goal '#], SMALL(IF(_pro05[Success Indicator]&lt;&gt; "Removed", ROW(_pro05[Goal '#])-ROW(INDEX(_pro05[Goal '#],1,1))+1), ROW(6:6))), "") &amp; ""</f>
        <v>5.6</v>
      </c>
      <c r="B26" s="53" t="str" cm="1">
        <f t="array" ref="B26">IFERROR(INDEX(_pro05[Success Indicator], SMALL(IF(_pro05[Success Indicator]&lt;&gt; "Removed", ROW(_pro05[Success Indicator])-ROW(INDEX(_pro05[Success Indicator],1,1))+1), ROW(6:6))), "") &amp; ""</f>
        <v>Developed a process to provide ongoing professional development for employees with ATI responsibilities.</v>
      </c>
      <c r="C26" s="1" t="str" cm="1">
        <f t="array" ref="C26">IFERROR(INDEX(_pro05[Department Stakeholder?], SMALL(IF(_pro05[Success Indicator]&lt;&gt; "Removed", ROW(_pro05[Department Stakeholder?])-ROW(INDEX(_pro05[Department Stakeholder?],1,1))+1), ROW(6:6))), "") &amp; ""</f>
        <v>Senior Accessible Technology Services Coordinator</v>
      </c>
      <c r="D26" s="1" t="str" cm="1">
        <f t="array" ref="D26">IFERROR(INDEX(_pro05[2021 Status], SMALL(IF(_pro05[Success Indicator]&lt;&gt; "Removed", ROW(_pro05[2021 Status])-ROW(INDEX(_pro05[2021 Status],1,1))+1), ROW(6:6))), "") &amp; ""</f>
        <v>Established</v>
      </c>
      <c r="E26" s="53" t="str" cm="1">
        <f t="array" ref="E26">IFERROR(INDEX(_pro05[2021 Evidence], SMALL(IF(_pro05[Success Indicator]&lt;&gt; "Removed", ROW(_pro05[2021 Evidence])-ROW(INDEX(_pro05[2021 Evidence],1,1))+1), ROW(6:6))), "") &amp; ""</f>
        <v xml:space="preserve">ATS Program Manager The ATI designee in the DPRC participates in the ATI system-wide procurement COPs, CSU trainings and has department resources available for Professional Development when needed. Process at Box\ATI\Procurement\SF State Accessible Technology Procurement Process.docx Line item exists within DPRC budget.  </v>
      </c>
      <c r="F26" s="53"/>
      <c r="G26" s="1" t="s">
        <v>33</v>
      </c>
      <c r="H26" s="1"/>
      <c r="I26" s="151"/>
      <c r="J26" s="181">
        <f>IF(ISBLANK(_pro05_gap[[#This Row],[2023 Status]]), "2023 Status Empty",
IF(_pro05_gap[[#This Row],[2023 Status]] = "Not Started", -5,
IFERROR(
    IF(VLOOKUP(_pro05_gap[[#This Row],[2021 Status]], _statuses[Status Level]:_statuses[Status Value], 7, FALSE) &gt; VLOOKUP(_pro05_gap[[#This Row],[2023 Status]], _statuses[Status Level]:_statuses[Status Value], 7, FALSE),
    -ABS(VLOOKUP(_pro05_gap[[#This Row],[2021 Status]], _statuses[Status Level]:_statuses[Status Value], 7, FALSE) - VLOOKUP(_pro05_gap[[#This Row],[2023 Status]], _statuses[Status Level]:_statuses[Status Value], 7, FALSE)),
    ABS(VLOOKUP(_pro05_gap[[#This Row],[2021 Status]], _statuses[Status Level]:_statuses[Status Value], 7, FALSE) - VLOOKUP(_pro05_gap[[#This Row],[2023 Status]], _statuses[Status Level]:_statuses[Status Value], 7, FALSE))),
"Error in Calculation")
))</f>
        <v>0</v>
      </c>
    </row>
    <row r="27" spans="1:10" ht="72.5" x14ac:dyDescent="0.35">
      <c r="A27" s="174" t="str" cm="1">
        <f t="array" ref="A27">IFERROR(INDEX(_pro05[Goal '#], SMALL(IF(_pro05[Success Indicator]&lt;&gt; "Removed", ROW(_pro05[Goal '#])-ROW(INDEX(_pro05[Goal '#],1,1))+1), ROW(7:7))), "") &amp; ""</f>
        <v>5.9</v>
      </c>
      <c r="B27" s="53" t="str" cm="1">
        <f t="array" ref="B27">IFERROR(INDEX(_pro05[Success Indicator], SMALL(IF(_pro05[Success Indicator]&lt;&gt; "Removed", ROW(_pro05[Success Indicator])-ROW(INDEX(_pro05[Success Indicator],1,1))+1), ROW(7:7))), "") &amp; ""</f>
        <v>NEW (was 6.2) Developed a process for working collaboratively with vendors during the procurement process to asses and improve the accessibility of their product (i.e., ACR review process, Accessibility Roadmap).</v>
      </c>
      <c r="C27" s="1" t="str" cm="1">
        <f t="array" ref="C27">IFERROR(INDEX(_pro05[Department Stakeholder?], SMALL(IF(_pro05[Success Indicator]&lt;&gt; "Removed", ROW(_pro05[Department Stakeholder?])-ROW(INDEX(_pro05[Department Stakeholder?],1,1))+1), ROW(7:7))), "") &amp; ""</f>
        <v>Senior Accessible Technology Services Coordinator</v>
      </c>
      <c r="D27" s="1" t="str" cm="1">
        <f t="array" ref="D27">IFERROR(INDEX(_pro05[2021 Status], SMALL(IF(_pro05[Success Indicator]&lt;&gt; "Removed", ROW(_pro05[2021 Status])-ROW(INDEX(_pro05[2021 Status],1,1))+1), ROW(7:7))), "") &amp; ""</f>
        <v>Established</v>
      </c>
      <c r="E27" s="53" t="str" cm="1">
        <f t="array" ref="E27">IFERROR(INDEX(_pro05[2021 Evidence], SMALL(IF(_pro05[Success Indicator]&lt;&gt; "Removed", ROW(_pro05[2021 Evidence])-ROW(INDEX(_pro05[2021 Evidence],1,1))+1), ROW(7:7))), "") &amp; ""</f>
        <v>ATS Program Manager; Accessible Procurement Analyst https://sfsu.box.com/s/diiwm004t6grf5qnsvy9zssx2ynmpawz</v>
      </c>
      <c r="F27" s="53"/>
      <c r="G27" s="1" t="s">
        <v>33</v>
      </c>
      <c r="H27" s="1"/>
      <c r="I27" s="151"/>
      <c r="J27" s="181">
        <f>IF(ISBLANK(_pro05_gap[[#This Row],[2023 Status]]), "2023 Status Empty",
IF(_pro05_gap[[#This Row],[2023 Status]] = "Not Started", -5,
IFERROR(
    IF(VLOOKUP(_pro05_gap[[#This Row],[2021 Status]], _statuses[Status Level]:_statuses[Status Value], 7, FALSE) &gt; VLOOKUP(_pro05_gap[[#This Row],[2023 Status]], _statuses[Status Level]:_statuses[Status Value], 7, FALSE),
    -ABS(VLOOKUP(_pro05_gap[[#This Row],[2021 Status]], _statuses[Status Level]:_statuses[Status Value], 7, FALSE) - VLOOKUP(_pro05_gap[[#This Row],[2023 Status]], _statuses[Status Level]:_statuses[Status Value], 7, FALSE)),
    ABS(VLOOKUP(_pro05_gap[[#This Row],[2021 Status]], _statuses[Status Level]:_statuses[Status Value], 7, FALSE) - VLOOKUP(_pro05_gap[[#This Row],[2023 Status]], _statuses[Status Level]:_statuses[Status Value], 7, FALSE))),
"Error in Calculation")
))</f>
        <v>0</v>
      </c>
    </row>
    <row r="28" spans="1:10" ht="102" thickBot="1" x14ac:dyDescent="0.4">
      <c r="A28" s="174" t="str" cm="1">
        <f t="array" ref="A28">IFERROR(INDEX(_pro05[Goal '#], SMALL(IF(_pro05[Success Indicator]&lt;&gt; "Removed", ROW(_pro05[Goal '#])-ROW(INDEX(_pro05[Goal '#],1,1))+1), ROW(8:8))), "") &amp; ""</f>
        <v>5.10</v>
      </c>
      <c r="B28" s="53" t="str" cm="1">
        <f t="array" ref="B28">IFERROR(INDEX(_pro05[Success Indicator], SMALL(IF(_pro05[Success Indicator]&lt;&gt; "Removed", ROW(_pro05[Success Indicator])-ROW(INDEX(_pro05[Success Indicator],1,1))+1), ROW(8:8))), "") &amp; ""</f>
        <v>NEW (was 6.3) Developed an ongoing general campus communication with executive support that promotes ICT procurement awareness.</v>
      </c>
      <c r="C28" s="1" t="str" cm="1">
        <f t="array" ref="C28">IFERROR(INDEX(_pro05[Department Stakeholder?], SMALL(IF(_pro05[Success Indicator]&lt;&gt; "Removed", ROW(_pro05[Department Stakeholder?])-ROW(INDEX(_pro05[Department Stakeholder?],1,1))+1), ROW(8:8))), "") &amp; ""</f>
        <v>AVP DASW</v>
      </c>
      <c r="D28" s="1" t="str" cm="1">
        <f t="array" ref="D28">IFERROR(INDEX(_pro05[2021 Status], SMALL(IF(_pro05[Success Indicator]&lt;&gt; "Removed", ROW(_pro05[2021 Status])-ROW(INDEX(_pro05[2021 Status],1,1))+1), ROW(8:8))), "") &amp; ""</f>
        <v>Established</v>
      </c>
      <c r="E28" s="53" t="str" cm="1">
        <f t="array" ref="E28">IFERROR(INDEX(_pro05[2021 Evidence], SMALL(IF(_pro05[Success Indicator]&lt;&gt; "Removed", ROW(_pro05[2021 Evidence])-ROW(INDEX(_pro05[2021 Evidence],1,1))+1), ROW(8:8))), "") &amp; ""</f>
        <v>ATI Executive Sponsor; ATS Program Manager https://sfsu.box.com/s/diiwm004t6grf5qnsvy9zssx2ynmpawz</v>
      </c>
      <c r="F28" s="178" t="s">
        <v>25</v>
      </c>
      <c r="G28" s="1" t="s">
        <v>15</v>
      </c>
      <c r="H28" s="1" t="s">
        <v>631</v>
      </c>
      <c r="I28" s="151" t="s">
        <v>595</v>
      </c>
      <c r="J28" s="180">
        <f>IF(ISBLANK(_pro05_gap[[#This Row],[2023 Status]]), "2023 Status Empty",
IF(_pro05_gap[[#This Row],[2023 Status]] = "Not Started", -5,
IFERROR(
    IF(VLOOKUP(_pro05_gap[[#This Row],[2021 Status]], _statuses[Status Level]:_statuses[Status Value], 7, FALSE) &gt; VLOOKUP(_pro05_gap[[#This Row],[2023 Status]], _statuses[Status Level]:_statuses[Status Value], 7, FALSE),
    -ABS(VLOOKUP(_pro05_gap[[#This Row],[2021 Status]], _statuses[Status Level]:_statuses[Status Value], 7, FALSE) - VLOOKUP(_pro05_gap[[#This Row],[2023 Status]], _statuses[Status Level]:_statuses[Status Value], 7, FALSE)),
    ABS(VLOOKUP(_pro05_gap[[#This Row],[2021 Status]], _statuses[Status Level]:_statuses[Status Value], 7, FALSE) - VLOOKUP(_pro05_gap[[#This Row],[2023 Status]], _statuses[Status Level]:_statuses[Status Value], 7, FALSE))),
"Error in Calculation")
))</f>
        <v>-5</v>
      </c>
    </row>
    <row r="29" spans="1:10" x14ac:dyDescent="0.35">
      <c r="A29" s="1"/>
      <c r="B29" s="1"/>
      <c r="C29" s="1"/>
      <c r="D29" s="1"/>
      <c r="E29" s="1"/>
      <c r="F29" s="1"/>
      <c r="G29" s="1"/>
      <c r="H29" s="1"/>
      <c r="I29" s="1"/>
      <c r="J29" s="1"/>
    </row>
    <row r="30" spans="1:10" x14ac:dyDescent="0.35">
      <c r="A30" s="1"/>
      <c r="B30" s="1"/>
      <c r="C30" s="1"/>
      <c r="D30" s="1"/>
      <c r="E30" s="1"/>
      <c r="F30" s="1"/>
      <c r="G30" s="1"/>
      <c r="H30" s="1"/>
      <c r="I30" s="1"/>
      <c r="J30" s="1"/>
    </row>
    <row r="31" spans="1:10" ht="15" thickBot="1" x14ac:dyDescent="0.4">
      <c r="A31" t="s">
        <v>3</v>
      </c>
      <c r="B31" s="1" t="s">
        <v>4</v>
      </c>
      <c r="C31" t="s">
        <v>5</v>
      </c>
      <c r="D31" t="s">
        <v>238</v>
      </c>
      <c r="E31" t="s">
        <v>6</v>
      </c>
      <c r="F31" t="s">
        <v>7</v>
      </c>
      <c r="G31" t="s">
        <v>8</v>
      </c>
      <c r="H31" t="s">
        <v>10</v>
      </c>
      <c r="I31" t="s">
        <v>11</v>
      </c>
      <c r="J31" t="s">
        <v>590</v>
      </c>
    </row>
    <row r="32" spans="1:10" ht="144" customHeight="1" x14ac:dyDescent="0.35">
      <c r="A32" s="174" t="str" cm="1">
        <f t="array" ref="A32">IFERROR(INDEX(_pro09[Goal '#], SMALL(IF(_pro09[Success Indicator]&lt;&gt; "Removed", ROW(_pro09[Goal '#])-ROW(INDEX(_pro09[Goal '#],1,1))+1), ROW(1:1))), "") &amp; ""</f>
        <v>9.1</v>
      </c>
      <c r="B32" s="53" t="str" cm="1">
        <f t="array" ref="B32">IFERROR(INDEX(_pro09[Success Indicator], SMALL(IF(_pro09[Success Indicator]&lt;&gt; "Removed", ROW(_pro09[Success Indicator])-ROW(INDEX(_pro09[Success Indicator],1,1))+1), ROW(1:1))), "") &amp; ""</f>
        <v>NEW (Was 1.1) Developed a process for the ATI Steering Committee to review, revise and approve the updated ATI Procurement Plan.</v>
      </c>
      <c r="C32" s="1" t="str" cm="1">
        <f t="array" ref="C32">IFERROR(INDEX(_pro09[Department Stakeholder?], SMALL(IF(_pro09[Success Indicator]&lt;&gt; "Removed", ROW(_pro09[Department Stakeholder?])-ROW(INDEX(_pro09[Department Stakeholder?],1,1))+1), ROW(1:1))), "") &amp; ""</f>
        <v>Senior Accessible Technology Services Coordinator</v>
      </c>
      <c r="D32" s="1" t="str" cm="1">
        <f t="array" ref="D32">IFERROR(INDEX(_pro09[2021 Status], SMALL(IF(_pro09[Success Indicator]&lt;&gt; "Removed", ROW(_pro09[2021 Status])-ROW(INDEX(_pro09[2021 Status],1,1))+1), ROW(1:1))), "") &amp; ""</f>
        <v>Established</v>
      </c>
      <c r="E32" s="53" t="str" cm="1">
        <f t="array" ref="E32">IFERROR(INDEX(_pro09[2021 Evidence], SMALL(IF(_pro09[Success Indicator]&lt;&gt; "Removed", ROW(_pro09[2021 Evidence])-ROW(INDEX(_pro09[2021 Evidence],1,1))+1), ROW(1:1))), "") &amp; ""</f>
        <v>ATS Program Manager https://sfsu.box.com/s/diiwm004t6grf5qnsvy9zssx2ynmpawz</v>
      </c>
      <c r="F32" s="1"/>
      <c r="G32" s="1" t="s">
        <v>15</v>
      </c>
      <c r="H32" s="1"/>
      <c r="I32" s="1" t="s">
        <v>596</v>
      </c>
      <c r="J32" s="179">
        <f>IF(ISBLANK(_pro9_gap[[#This Row],[2023 Status]]), "2023 Status Empty",
IF(_pro9_gap[[#This Row],[2023 Status]] = "Not Started", -5,
IFERROR(
    IF(VLOOKUP(_pro9_gap[[#This Row],[2021 Status]], _statuses[Status Level]:_statuses[Status Value], 7, FALSE) &gt; VLOOKUP(_pro9_gap[[#This Row],[2023 Status]], _statuses[Status Level]:_statuses[Status Value], 7, FALSE),
    -ABS(VLOOKUP(_pro9_gap[[#This Row],[2021 Status]], _statuses[Status Level]:_statuses[Status Value], 7, FALSE) - VLOOKUP(_pro9_gap[[#This Row],[2023 Status]], _statuses[Status Level]:_statuses[Status Value], 7, FALSE)),
    ABS(VLOOKUP(_pro9_gap[[#This Row],[2021 Status]], _statuses[Status Level]:_statuses[Status Value], 7, FALSE) - VLOOKUP(_pro9_gap[[#This Row],[2023 Status]], _statuses[Status Level]:_statuses[Status Value], 7, FALSE))),
"Error in Calculation")
))</f>
        <v>-5</v>
      </c>
    </row>
    <row r="33" spans="1:10" ht="58.5" thickBot="1" x14ac:dyDescent="0.4">
      <c r="A33" s="174" t="str" cm="1">
        <f t="array" ref="A33">IFERROR(INDEX(_pro09[Goal '#], SMALL(IF(_pro09[Success Indicator]&lt;&gt; "Removed", ROW(_pro09[Goal '#])-ROW(INDEX(_pro09[Goal '#],1,1))+1), ROW(2:2))), "") &amp; ""</f>
        <v>9.2</v>
      </c>
      <c r="B33" s="53" t="str" cm="1">
        <f t="array" ref="B33">IFERROR(INDEX(_pro09[Success Indicator], SMALL(IF(_pro09[Success Indicator]&lt;&gt; "Removed", ROW(_pro09[Success Indicator])-ROW(INDEX(_pro09[Success Indicator],1,1))+1), ROW(2:2))), "") &amp; ""</f>
        <v>NEW Developed a process for the procurement subcommittee to inform the revision and coordinate the implementation of Annual Procurement Plan.</v>
      </c>
      <c r="C33" s="1" t="str" cm="1">
        <f t="array" ref="C33">IFERROR(INDEX(_pro09[Department Stakeholder?], SMALL(IF(_pro09[Success Indicator]&lt;&gt; "Removed", ROW(_pro09[Department Stakeholder?])-ROW(INDEX(_pro09[Department Stakeholder?],1,1))+1), ROW(2:2))), "") &amp; ""</f>
        <v>Senior Accessible Technology Services Coordinator</v>
      </c>
      <c r="D33" s="1" t="str" cm="1">
        <f t="array" ref="D33">IFERROR(INDEX(_pro09[2021 Status], SMALL(IF(_pro09[Success Indicator]&lt;&gt; "Removed", ROW(_pro09[2021 Status])-ROW(INDEX(_pro09[2021 Status],1,1))+1), ROW(2:2))), "") &amp; ""</f>
        <v>Established</v>
      </c>
      <c r="E33" s="53" t="str" cm="1">
        <f t="array" ref="E33">IFERROR(INDEX(_pro09[2021 Evidence], SMALL(IF(_pro09[Success Indicator]&lt;&gt; "Removed", ROW(_pro09[2021 Evidence])-ROW(INDEX(_pro09[2021 Evidence],1,1))+1), ROW(2:2))), "") &amp; ""</f>
        <v>ATS Program Manager https://sfsu.box.com/s/diiwm004t6grf5qnsvy9zssx2ynmpawz</v>
      </c>
      <c r="F33" s="1"/>
      <c r="G33" s="1" t="s">
        <v>15</v>
      </c>
      <c r="H33" s="1"/>
      <c r="I33" s="1" t="s">
        <v>597</v>
      </c>
      <c r="J33" s="180">
        <f>IF(ISBLANK(_pro9_gap[[#This Row],[2023 Status]]), "2023 Status Empty",
IF(_pro9_gap[[#This Row],[2023 Status]] = "Not Started", -5,
IFERROR(
    IF(VLOOKUP(_pro9_gap[[#This Row],[2021 Status]], _statuses[Status Level]:_statuses[Status Value], 7, FALSE) &gt; VLOOKUP(_pro9_gap[[#This Row],[2023 Status]], _statuses[Status Level]:_statuses[Status Value], 7, FALSE),
    -ABS(VLOOKUP(_pro9_gap[[#This Row],[2021 Status]], _statuses[Status Level]:_statuses[Status Value], 7, FALSE) - VLOOKUP(_pro9_gap[[#This Row],[2023 Status]], _statuses[Status Level]:_statuses[Status Value], 7, FALSE)),
    ABS(VLOOKUP(_pro9_gap[[#This Row],[2021 Status]], _statuses[Status Level]:_statuses[Status Value], 7, FALSE) - VLOOKUP(_pro9_gap[[#This Row],[2023 Status]], _statuses[Status Level]:_statuses[Status Value], 7, FALSE))),
"Error in Calculation")
))</f>
        <v>-5</v>
      </c>
    </row>
    <row r="34" spans="1:10" x14ac:dyDescent="0.35">
      <c r="A34" s="1"/>
      <c r="B34" s="1"/>
      <c r="C34" s="1"/>
      <c r="D34" s="1"/>
      <c r="E34" s="1"/>
      <c r="F34" s="1"/>
      <c r="G34" s="1"/>
      <c r="H34" s="1"/>
      <c r="I34" s="1"/>
      <c r="J34" s="1"/>
    </row>
    <row r="35" spans="1:10" x14ac:dyDescent="0.35">
      <c r="A35" s="1"/>
      <c r="B35" s="1"/>
      <c r="C35" s="1"/>
      <c r="D35" s="1"/>
      <c r="E35" s="1"/>
      <c r="F35" s="1"/>
      <c r="G35" s="1"/>
      <c r="H35" s="1"/>
      <c r="I35" s="1"/>
      <c r="J35" s="1"/>
    </row>
    <row r="36" spans="1:10" x14ac:dyDescent="0.35">
      <c r="A36" s="1"/>
      <c r="B36" s="1"/>
      <c r="C36" s="1"/>
      <c r="D36" s="1"/>
      <c r="E36" s="1"/>
      <c r="F36" s="1"/>
      <c r="G36" s="1"/>
      <c r="H36" s="1"/>
      <c r="I36" s="1"/>
      <c r="J36" s="1"/>
    </row>
    <row r="37" spans="1:10" x14ac:dyDescent="0.35">
      <c r="A37" s="1"/>
      <c r="B37" s="1"/>
      <c r="C37" s="1"/>
      <c r="D37" s="1"/>
      <c r="E37" s="1"/>
      <c r="F37" s="1"/>
      <c r="G37" s="1"/>
      <c r="H37" s="1"/>
      <c r="I37" s="1"/>
      <c r="J37" s="1"/>
    </row>
    <row r="38" spans="1:10" x14ac:dyDescent="0.35">
      <c r="A38" s="1"/>
      <c r="B38" s="1"/>
      <c r="C38" s="1"/>
      <c r="D38" s="1"/>
      <c r="E38" s="1"/>
      <c r="F38" s="1"/>
      <c r="G38" s="1"/>
      <c r="H38" s="1"/>
      <c r="I38" s="1"/>
      <c r="J38" s="1"/>
    </row>
    <row r="39" spans="1:10" x14ac:dyDescent="0.35">
      <c r="A39" s="1"/>
      <c r="B39" s="1"/>
      <c r="C39" s="1"/>
      <c r="D39" s="1"/>
      <c r="E39" s="1"/>
      <c r="F39" s="1"/>
      <c r="G39" s="1"/>
      <c r="H39" s="1"/>
      <c r="I39" s="1"/>
      <c r="J39" s="1"/>
    </row>
  </sheetData>
  <conditionalFormatting sqref="J5:J12">
    <cfRule type="colorScale" priority="4">
      <colorScale>
        <cfvo type="num" val="-5"/>
        <cfvo type="percentile" val="50"/>
        <cfvo type="num" val="5"/>
        <color rgb="FFF8696B"/>
        <color rgb="FFFFEB84"/>
        <color rgb="FF63BE7B"/>
      </colorScale>
    </cfRule>
  </conditionalFormatting>
  <conditionalFormatting sqref="J16">
    <cfRule type="colorScale" priority="3">
      <colorScale>
        <cfvo type="num" val="-5"/>
        <cfvo type="num" val="0"/>
        <cfvo type="num" val="5"/>
        <color rgb="FFF8696B"/>
        <color rgb="FFFFEB84"/>
        <color rgb="FF63BE7B"/>
      </colorScale>
    </cfRule>
  </conditionalFormatting>
  <conditionalFormatting sqref="J21:J28">
    <cfRule type="colorScale" priority="2">
      <colorScale>
        <cfvo type="num" val="-5"/>
        <cfvo type="num" val="0"/>
        <cfvo type="num" val="5"/>
        <color rgb="FFF8696B"/>
        <color rgb="FFFFEB84"/>
        <color rgb="FF63BE7B"/>
      </colorScale>
    </cfRule>
  </conditionalFormatting>
  <conditionalFormatting sqref="J32:J33">
    <cfRule type="colorScale" priority="1">
      <colorScale>
        <cfvo type="num" val="-5"/>
        <cfvo type="num" val="0"/>
        <cfvo type="num" val="5"/>
        <color rgb="FFF8696B"/>
        <color rgb="FFFFEB84"/>
        <color rgb="FF63BE7B"/>
      </colorScale>
    </cfRule>
  </conditionalFormatting>
  <dataValidations count="1">
    <dataValidation type="list" allowBlank="1" showInputMessage="1" showErrorMessage="1" sqref="G5:G12 G16 G21:G28 G32:G33" xr:uid="{DE0B14B6-2203-410E-A56E-CEE68FD1FCA7}">
      <formula1>Statuses</formula1>
    </dataValidation>
  </dataValidations>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E7FA6968F05440AB30EC55C4F29D93" ma:contentTypeVersion="14" ma:contentTypeDescription="Create a new document." ma:contentTypeScope="" ma:versionID="ee9c85a5c9247e9ffc0d28f33a35f94a">
  <xsd:schema xmlns:xsd="http://www.w3.org/2001/XMLSchema" xmlns:xs="http://www.w3.org/2001/XMLSchema" xmlns:p="http://schemas.microsoft.com/office/2006/metadata/properties" xmlns:ns3="7981c541-11b4-4f62-9bdf-156ee3127b70" xmlns:ns4="6193d1c5-1a1e-4092-a2d4-9217cc2dbed6" targetNamespace="http://schemas.microsoft.com/office/2006/metadata/properties" ma:root="true" ma:fieldsID="977e55cdbe8d5a79f72c3db95fbf8cc4" ns3:_="" ns4:_="">
    <xsd:import namespace="7981c541-11b4-4f62-9bdf-156ee3127b70"/>
    <xsd:import namespace="6193d1c5-1a1e-4092-a2d4-9217cc2dbed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ServiceDateTaken" minOccurs="0"/>
                <xsd:element ref="ns4:_activity"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81c541-11b4-4f62-9bdf-156ee3127b7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193d1c5-1a1e-4092-a2d4-9217cc2dbed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6193d1c5-1a1e-4092-a2d4-9217cc2dbed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76FC987A-2E1D-4525-9199-64A1DA9340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81c541-11b4-4f62-9bdf-156ee3127b70"/>
    <ds:schemaRef ds:uri="6193d1c5-1a1e-4092-a2d4-9217cc2dbe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AB08B5D-7B24-4968-AC28-DF09F5DFB16B}">
  <ds:schemaRefs>
    <ds:schemaRef ds:uri="http://schemas.microsoft.com/office/2006/metadata/properties"/>
    <ds:schemaRef ds:uri="http://schemas.microsoft.com/office/infopath/2007/PartnerControls"/>
    <ds:schemaRef ds:uri="6193d1c5-1a1e-4092-a2d4-9217cc2dbed6"/>
  </ds:schemaRefs>
</ds:datastoreItem>
</file>

<file path=customXml/itemProps3.xml><?xml version="1.0" encoding="utf-8"?>
<ds:datastoreItem xmlns:ds="http://schemas.openxmlformats.org/officeDocument/2006/customXml" ds:itemID="{A8262DE7-BE34-43A9-A4BF-B56934FC0C80}">
  <ds:schemaRefs>
    <ds:schemaRef ds:uri="http://schemas.microsoft.com/sharepoint/v3/contenttype/forms"/>
  </ds:schemaRefs>
</ds:datastoreItem>
</file>

<file path=customXml/itemProps4.xml><?xml version="1.0" encoding="utf-8"?>
<ds:datastoreItem xmlns:ds="http://schemas.openxmlformats.org/officeDocument/2006/customXml" ds:itemID="{E5A50FBD-1878-4E8E-A88E-F3764E3A26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Evidence Collection</vt:lpstr>
      <vt:lpstr>Procurement</vt:lpstr>
      <vt:lpstr>IM</vt:lpstr>
      <vt:lpstr>Web</vt:lpstr>
      <vt:lpstr>Stakeholders</vt:lpstr>
      <vt:lpstr>Status</vt:lpstr>
      <vt:lpstr>Laws Memos and Docs</vt:lpstr>
      <vt:lpstr>IM Gap Analysis</vt:lpstr>
      <vt:lpstr>Web Gap Analysis</vt:lpstr>
      <vt:lpstr>Procurement Gap Analysis</vt:lpstr>
      <vt:lpstr>Procurement!name</vt:lpstr>
      <vt:lpstr>name</vt:lpstr>
      <vt:lpstr>Procurement!stakeholder_names</vt:lpstr>
      <vt:lpstr>stakeholder_names</vt:lpstr>
      <vt:lpstr>Statuses</vt:lpstr>
      <vt:lpstr>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J Fontaine</dc:creator>
  <cp:keywords/>
  <dc:description/>
  <cp:lastModifiedBy>Daniel J Fontaine</cp:lastModifiedBy>
  <cp:revision/>
  <dcterms:created xsi:type="dcterms:W3CDTF">2015-06-05T18:17:20Z</dcterms:created>
  <dcterms:modified xsi:type="dcterms:W3CDTF">2023-12-09T00:33:38Z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0x010100EFE7FA6968F05440AB30EC55C4F29D93</vt:lpwstr>
  </property>
</Properties>
</file>